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Tracker" sheetId="1" state="visible" r:id="rId3"/>
    <sheet name="Critical Path (P1)" sheetId="2" state="visible" r:id="rId4"/>
    <sheet name="Status Dashboard" sheetId="3" state="visible" r:id="rId5"/>
    <sheet name="Change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<sst xmlns="http://schemas.openxmlformats.org/spreadsheetml/2006/main" count="785" uniqueCount="307">
  <si>
    <t xml:space="preserve">Street Vendor Site Selection Tool — Data Acquisition Tracker (OFFICIAL)</t>
  </si>
  <si>
    <t xml:space="preserve">Live XYZ × NYC SBS (Office of Street Vendor Services) × Street Vendor Project  |  v2.0 — rebuilt 2026-06-03  |  Supersedes Phase 1 inventory v1.0 (May 2026)</t>
  </si>
  <si>
    <t xml:space="preserve">Verification column reflects independent link/source checks performed 2026-06-03. "Owner" and dates carried from v1.0 inventory. P1 rows shaded red = blocking for rule encoding.</t>
  </si>
  <si>
    <t xml:space="preserve">ID</t>
  </si>
  <si>
    <t xml:space="preserve">Source agency</t>
  </si>
  <si>
    <t xml:space="preserve">Dataset / layer</t>
  </si>
  <si>
    <t xml:space="preserve">Type</t>
  </si>
  <si>
    <t xml:space="preserve">Format</t>
  </si>
  <si>
    <t xml:space="preserve">Access status</t>
  </si>
  <si>
    <t xml:space="preserve">Priority</t>
  </si>
  <si>
    <t xml:space="preserve">Blocks deliverable</t>
  </si>
  <si>
    <t xml:space="preserve">Update cadence</t>
  </si>
  <si>
    <t xml:space="preserve">Purpose / what it drives</t>
  </si>
  <si>
    <t xml:space="preserve">Direct URL</t>
  </si>
  <si>
    <t xml:space="preserve">Verification (2026-06-03)</t>
  </si>
  <si>
    <t xml:space="preserve">Acquisition notes &amp; risks</t>
  </si>
  <si>
    <t xml:space="preserve">Owner</t>
  </si>
  <si>
    <t xml:space="preserve">Target date</t>
  </si>
  <si>
    <t xml:space="preserve">Status</t>
  </si>
  <si>
    <t xml:space="preserve">DS-001</t>
  </si>
  <si>
    <t xml:space="preserve">DOHMH</t>
  </si>
  <si>
    <t xml:space="preserve">Mobile Food Vending Restricted Streets — GIS layer</t>
  </si>
  <si>
    <t xml:space="preserve">Rule polygon</t>
  </si>
  <si>
    <t xml:space="preserve">Internal GIS (Esri)</t>
  </si>
  <si>
    <t xml:space="preserve">Request to agency</t>
  </si>
  <si>
    <t xml:space="preserve">P1</t>
  </si>
  <si>
    <t xml:space="preserve">D3 (rule library, MFV legal surface)</t>
  </si>
  <si>
    <t xml:space="preserve">Ad-hoc / amended</t>
  </si>
  <si>
    <t xml:space="preserve">Canonical food-vendor no-go segments with hours/days. Single most important rule input.</t>
  </si>
  <si>
    <t xml:space="preserve">open ↗</t>
  </si>
  <si>
    <t xml:space="preserve">Public map confirmed; GIS layer NOT yet requested</t>
  </si>
  <si>
    <t xml:space="preserve">Public artifact is PDF only. Internal GIS is what powers the agency's interactive map. Fallback is PDF geocoding (~2 eng-weeks).  | Public interactive map live at a816-dohbesp.nyc.gov/IndicatorPublic/mobilefoodvending. Underlying GIS export still requires agency request.</t>
  </si>
  <si>
    <t xml:space="preserve">Live XYZ — Data Lead</t>
  </si>
  <si>
    <t xml:space="preserve">2026-06-21</t>
  </si>
  <si>
    <t xml:space="preserve">Not started</t>
  </si>
  <si>
    <t xml:space="preserve">DS-002</t>
  </si>
  <si>
    <t xml:space="preserve">Mobile Food Vending Restricted Streets Guide (PDF)</t>
  </si>
  <si>
    <t xml:space="preserve">Rule polygon (fallback)</t>
  </si>
  <si>
    <t xml:space="preserve">PDF</t>
  </si>
  <si>
    <t xml:space="preserve">Public</t>
  </si>
  <si>
    <t xml:space="preserve">P2</t>
  </si>
  <si>
    <t xml:space="preserve">D3 fallback</t>
  </si>
  <si>
    <t xml:space="preserve">Ad-hoc</t>
  </si>
  <si>
    <t xml:space="preserve">Tabular borough-by-borough fallback if DS-001 not provided. Geocode against CSCL.</t>
  </si>
  <si>
    <t xml:space="preserve">Verified live (2026-06-03)</t>
  </si>
  <si>
    <t xml:space="preserve">Borough sections, named zones (WTC, Flushing, Dyker Heights).  | DOHMH MFV Restricted Streets PDF link confirmed reachable.</t>
  </si>
  <si>
    <t xml:space="preserve">2026-06-08</t>
  </si>
  <si>
    <t xml:space="preserve">DS-003</t>
  </si>
  <si>
    <t xml:space="preserve">Restricted Area Permit zones</t>
  </si>
  <si>
    <t xml:space="preserve">Internal</t>
  </si>
  <si>
    <t xml:space="preserve">D3 (Restricted Area SKU)</t>
  </si>
  <si>
    <t xml:space="preserve">Defines the specific high-traffic zones requiring Restricted Area Permit (separate SKU).</t>
  </si>
  <si>
    <t xml:space="preserve">Unverified — from internal inventory</t>
  </si>
  <si>
    <t xml:space="preserve">May be administrative boundaries, not formal GIS. Confirm with DOHMH permitting.  | URL carried from v1.0; not independently confirmed this session.</t>
  </si>
  <si>
    <t xml:space="preserve">2026-06-28</t>
  </si>
  <si>
    <t xml:space="preserve">DS-004</t>
  </si>
  <si>
    <t xml:space="preserve">Mobile Food Vendor permits (active holders)</t>
  </si>
  <si>
    <t xml:space="preserve">Permit population</t>
  </si>
  <si>
    <t xml:space="preserve">CSV / API</t>
  </si>
  <si>
    <t xml:space="preserve">Public via NYC Open Data</t>
  </si>
  <si>
    <t xml:space="preserve">—</t>
  </si>
  <si>
    <t xml:space="preserve">Weekly</t>
  </si>
  <si>
    <t xml:space="preserve">Calibration of legal-surface against where permits actually operate; informs heatmap.</t>
  </si>
  <si>
    <t xml:space="preserve">Public source — link present in inventory</t>
  </si>
  <si>
    <t xml:space="preserve">Public dataset. Cross-reference for evaluation §IV.4.b.  | Open Data / agency portal; not individually fetched this session.</t>
  </si>
  <si>
    <t xml:space="preserve">2026-06-14</t>
  </si>
  <si>
    <t xml:space="preserve">DS-005</t>
  </si>
  <si>
    <t xml:space="preserve">Green Cart designated under-served neighborhood polygons</t>
  </si>
  <si>
    <t xml:space="preserve">D3 (Green Cart mode)</t>
  </si>
  <si>
    <t xml:space="preserve">Annual</t>
  </si>
  <si>
    <t xml:space="preserve">Green Cart MFV permits limited to specific Police Precinct geographies in lower-income areas.</t>
  </si>
  <si>
    <t xml:space="preserve">Boundaries set by Local Law 9 of 2008. May exist as a published list of precincts requiring conversion to GIS.  | URL carried from v1.0; not independently confirmed this session.</t>
  </si>
  <si>
    <t xml:space="preserve">DS-006</t>
  </si>
  <si>
    <t xml:space="preserve">Hospital facilities (DOHMH-licensed)</t>
  </si>
  <si>
    <t xml:space="preserve">Buffer anchor</t>
  </si>
  <si>
    <t xml:space="preserve">GeoJSON / CSV</t>
  </si>
  <si>
    <t xml:space="preserve">Quarterly</t>
  </si>
  <si>
    <t xml:space="preserve">Anchor for hospital-adjacency no-vending rule §20-465(b)(v).</t>
  </si>
  <si>
    <t xml:space="preserve">Cross-check against DCP FacDB factype 3102 for completeness.  | Open Data / agency portal; not individually fetched this session.</t>
  </si>
  <si>
    <t xml:space="preserve">DS-007</t>
  </si>
  <si>
    <t xml:space="preserve">DCWP</t>
  </si>
  <si>
    <t xml:space="preserve">General Vendor Street Restrictions — Esri feature service</t>
  </si>
  <si>
    <t xml:space="preserve">ArcGIS REST / GeoJSON</t>
  </si>
  <si>
    <t xml:space="preserve">Public via ArcGIS Experience; license preferred</t>
  </si>
  <si>
    <t xml:space="preserve">D3 (GV legal surface)</t>
  </si>
  <si>
    <t xml:space="preserve">Authoritative DCWP-administered street restrictions for general (merchandise) vendors per §20-465 / §20-465.1.</t>
  </si>
  <si>
    <t xml:space="preserve">Underlying feature service is reachable but written license is the responsible path before production use.  | DCWP ArcGIS Experience confirmed live via DSNY enforcement page. This IS the public General Vendor Street Restrictions Map.</t>
  </si>
  <si>
    <t xml:space="preserve">DS-008</t>
  </si>
  <si>
    <t xml:space="preserve">Street Vendor Review Panel (SVRP) designations under §20-465.1</t>
  </si>
  <si>
    <t xml:space="preserve">Internal / SBS records</t>
  </si>
  <si>
    <t xml:space="preserve">Streets added/removed from the general-vendor permitted set by SBS designation since 1995.</t>
  </si>
  <si>
    <t xml:space="preserve">May overlap with DS-007. SBS is the actual record holder (the panel chair is the SBS Commissioner's designee).  | URL carried from v1.0; not independently confirmed this session.</t>
  </si>
  <si>
    <t xml:space="preserve">2026-07-05</t>
  </si>
  <si>
    <t xml:space="preserve">DS-009</t>
  </si>
  <si>
    <t xml:space="preserve">General Vendor License records (active holders)</t>
  </si>
  <si>
    <t xml:space="preserve">Active general vendor license population — feeds the cap-tracking and post-Int. 431-B expansion modeling.</t>
  </si>
  <si>
    <t xml:space="preserve">Verify SKU breakdown (general vs. Yellow vs. Blue) in column schema.  | Open Data / agency portal; not individually fetched this session.</t>
  </si>
  <si>
    <t xml:space="preserve">DS-010</t>
  </si>
  <si>
    <t xml:space="preserve">Specialized Vending License records (Yellow + Blue)</t>
  </si>
  <si>
    <t xml:space="preserve">Splits Yellow (Citywide Specialized) vs. Blue (Midtown Core) populations; underpins SKU-specific map mode.</t>
  </si>
  <si>
    <t xml:space="preserve">Sensitive PII; only aggregate counts and license-type breakdown needed for the tool.  | URL carried from v1.0; not independently confirmed this session.</t>
  </si>
  <si>
    <t xml:space="preserve">DS-011</t>
  </si>
  <si>
    <t xml:space="preserve">Midtown Core (Blue) Specialized waiting-list metadata</t>
  </si>
  <si>
    <t xml:space="preserve">P3</t>
  </si>
  <si>
    <t xml:space="preserve">Informational only — not encoded in rule logic but provides context for vendor outreach prioritization.</t>
  </si>
  <si>
    <t xml:space="preserve">Likely just aggregate counts.  | URL carried from v1.0; not independently confirmed this session.</t>
  </si>
  <si>
    <t xml:space="preserve">2026-07-19</t>
  </si>
  <si>
    <t xml:space="preserve">DS-012</t>
  </si>
  <si>
    <t xml:space="preserve">DCP</t>
  </si>
  <si>
    <t xml:space="preserve">NYC GIS Zoning Features</t>
  </si>
  <si>
    <t xml:space="preserve">Shp / GeoJSON</t>
  </si>
  <si>
    <t xml:space="preserve">D3 (C4/C5/C6 exclusion)</t>
  </si>
  <si>
    <t xml:space="preserve">Drives the §20-465 C4/C5/C6 general-vendor zoning-district exclusion. Critical for SKU-specific legality.</t>
  </si>
  <si>
    <t xml:space="preserve">Filter ZONEDIST starts-with C4/C5/C6; dissolve to single exclusion polygon.  | Open Data / agency portal; not individually fetched this session.</t>
  </si>
  <si>
    <t xml:space="preserve">2026-06-07</t>
  </si>
  <si>
    <t xml:space="preserve">DS-013</t>
  </si>
  <si>
    <t xml:space="preserve">NYC Street Centerline (CSCL)</t>
  </si>
  <si>
    <t xml:space="preserve">Base geography</t>
  </si>
  <si>
    <t xml:space="preserve">D3 (base join key — ALL rules)</t>
  </si>
  <si>
    <t xml:space="preserve">Daily</t>
  </si>
  <si>
    <t xml:space="preserve">Primary streets layer; segment IDs are the join key for DOHMH/DCWP street-level restrictions.</t>
  </si>
  <si>
    <t xml:space="preserve">Daily refresh — design ingest job accordingly.  | Open Data / agency portal; not individually fetched this session.</t>
  </si>
  <si>
    <t xml:space="preserve">DS-014</t>
  </si>
  <si>
    <t xml:space="preserve">LION Street Network</t>
  </si>
  <si>
    <t xml:space="preserve">Shp / FGDB</t>
  </si>
  <si>
    <t xml:space="preserve">Fine-grained segmentation; needed where DOHMH restrictions describe partial blocks ('from X to Y').</t>
  </si>
  <si>
    <t xml:space="preserve">Use in tandem with CSCL — LION for partial-block resolution, CSCL for production segment IDs.  | URL carried from v1.0; not independently confirmed this session.</t>
  </si>
  <si>
    <t xml:space="preserve">DS-015</t>
  </si>
  <si>
    <t xml:space="preserve">Building Footprints</t>
  </si>
  <si>
    <t xml:space="preserve">Base geography + buffer anchor</t>
  </si>
  <si>
    <t xml:space="preserve">Anchor for the 20-ft entrance/exit buffer. Door-level data not included — approximation only.</t>
  </si>
  <si>
    <t xml:space="preserve">20-ft buffer from footprint edge is an over-approximation of the rule (which targets entrances). Accept for v1.  | Open Data / agency portal; not individually fetched this session.</t>
  </si>
  <si>
    <t xml:space="preserve">DS-016</t>
  </si>
  <si>
    <t xml:space="preserve">MapPLUTO</t>
  </si>
  <si>
    <t xml:space="preserve">Shp / CSV</t>
  </si>
  <si>
    <t xml:space="preserve">Parcel-level zoning lookup; supplemental to DS-012. Useful for parcel-aware UX (storefront context).</t>
  </si>
  <si>
    <t xml:space="preserve">Live XYZ already uses MapPLUTO for storefront index — license is in place.  | URL carried from v1.0; not independently confirmed this session.</t>
  </si>
  <si>
    <t xml:space="preserve">DS-017</t>
  </si>
  <si>
    <t xml:space="preserve">Facilities Database (FacDB) — Shapefile</t>
  </si>
  <si>
    <t xml:space="preserve">Shp</t>
  </si>
  <si>
    <t xml:space="preserve">Hospitals (factype 3102), schools (factype 5xxx) in one consolidated layer.</t>
  </si>
  <si>
    <t xml:space="preserve">Annual refresh — verify currency against agency-specific datasets.  | Open Data / agency portal; not individually fetched this session.</t>
  </si>
  <si>
    <t xml:space="preserve">DS-018</t>
  </si>
  <si>
    <t xml:space="preserve">Borough Boundaries</t>
  </si>
  <si>
    <t xml:space="preserve">Frame layer for borough-specific MFV permits (SKU separation).</t>
  </si>
  <si>
    <t xml:space="preserve">Trivial ingest.  | Open Data / agency portal; not individually fetched this session.</t>
  </si>
  <si>
    <t xml:space="preserve">DS-019</t>
  </si>
  <si>
    <t xml:space="preserve">Community Districts</t>
  </si>
  <si>
    <t xml:space="preserve">Advisory / context</t>
  </si>
  <si>
    <t xml:space="preserve">Reporting and outreach segmentation.</t>
  </si>
  <si>
    <t xml:space="preserve">Used for metrics dashboard segmentation only.  | Open Data / agency portal; not individually fetched this session.</t>
  </si>
  <si>
    <t xml:space="preserve">2026-07-12</t>
  </si>
  <si>
    <t xml:space="preserve">DS-020</t>
  </si>
  <si>
    <t xml:space="preserve">SBS</t>
  </si>
  <si>
    <t xml:space="preserve">Street Vendor Review Panel — designation history</t>
  </si>
  <si>
    <t xml:space="preserve">Rule polygon supplement</t>
  </si>
  <si>
    <t xml:space="preserve">SBS-administered §20-465.1 designations adding/removing streets from the permitted set.</t>
  </si>
  <si>
    <t xml:space="preserve">May be redundant with DS-008. Confirm canonical source with SBS Legal.  | URL carried from v1.0; not independently confirmed this session.</t>
  </si>
  <si>
    <t xml:space="preserve">Live XYZ — Project Lead</t>
  </si>
  <si>
    <t xml:space="preserve">DS-021</t>
  </si>
  <si>
    <t xml:space="preserve">Business Improvement District (BID) boundaries</t>
  </si>
  <si>
    <t xml:space="preserve">Informational overlay; some BIDs administer supplementary vending arrangements.</t>
  </si>
  <si>
    <t xml:space="preserve">Useful for outreach targeting and brick-and-mortar context.  | Open Data / agency portal; not individually fetched this session.</t>
  </si>
  <si>
    <t xml:space="preserve">DS-022</t>
  </si>
  <si>
    <t xml:space="preserve">BID Directory (contacts, programming)</t>
  </si>
  <si>
    <t xml:space="preserve">Contact metadata for the BIDs in DS-021; informs Phase 3 outreach.</t>
  </si>
  <si>
    <t xml:space="preserve">—  | Open Data / agency portal; not individually fetched this session.</t>
  </si>
  <si>
    <t xml:space="preserve">DS-023</t>
  </si>
  <si>
    <t xml:space="preserve">DSNY</t>
  </si>
  <si>
    <t xml:space="preserve">ECB vendor citation records (geocoded)</t>
  </si>
  <si>
    <t xml:space="preserve">Operational / measurement</t>
  </si>
  <si>
    <t xml:space="preserve">Request to agency / OpenRecords</t>
  </si>
  <si>
    <t xml:space="preserve">D2/D4 evaluation metrics</t>
  </si>
  <si>
    <t xml:space="preserve">Monthly</t>
  </si>
  <si>
    <t xml:space="preserve">Citation locations, code sections, dispositions. Underpins §IV.4.a evaluation and 75%-overturn root-cause analysis.</t>
  </si>
  <si>
    <t xml:space="preserve">Some summary data on OATH (ECB) public records. Granularity is the issue.  | URL carried from v1.0; not independently confirmed this session.</t>
  </si>
  <si>
    <t xml:space="preserve">DS-024</t>
  </si>
  <si>
    <t xml:space="preserve">Enforcement zone / patrol allocation</t>
  </si>
  <si>
    <t xml:space="preserve">Operational / advisory</t>
  </si>
  <si>
    <t xml:space="preserve">Context only — where DSNY focuses enforcement; informs metric interpretation.</t>
  </si>
  <si>
    <t xml:space="preserve">Likely sensitive; may not be released externally.  | URL carried from v1.0; not independently confirmed this session.</t>
  </si>
  <si>
    <t xml:space="preserve">DS-025</t>
  </si>
  <si>
    <t xml:space="preserve">NYPD</t>
  </si>
  <si>
    <t xml:space="preserve">Vendor-related summons records</t>
  </si>
  <si>
    <t xml:space="preserve">Internal / FOIL</t>
  </si>
  <si>
    <t xml:space="preserve">Partial public via NYPD Open Data</t>
  </si>
  <si>
    <t xml:space="preserve">Pre-March 2026 criminal summons history; post-LL122 will shift to ECB.</t>
  </si>
  <si>
    <t xml:space="preserve">Granularity often only aggregate. Pursue via FOIL if NYPD Legal route stalls.  | URL carried from v1.0; not independently confirmed this session.</t>
  </si>
  <si>
    <t xml:space="preserve">DS-026</t>
  </si>
  <si>
    <t xml:space="preserve">DOT</t>
  </si>
  <si>
    <t xml:space="preserve">Pedestrian Plazas (Polygon)</t>
  </si>
  <si>
    <t xml:space="preserve">Out-of-scope mask</t>
  </si>
  <si>
    <t xml:space="preserve">Mask plaza surfaces from the legal-vending canvas; vending in plazas is concession-only and out of scope.</t>
  </si>
  <si>
    <t xml:space="preserve">Surface as 'out of scope' in the UX, not as 'prohibited'.  | Open Data / agency portal; not individually fetched this session.</t>
  </si>
  <si>
    <t xml:space="preserve">DS-027</t>
  </si>
  <si>
    <t xml:space="preserve">Bus Stop Shelters</t>
  </si>
  <si>
    <t xml:space="preserve">Anchors the no-vending-at-bus-stops rule.</t>
  </si>
  <si>
    <t xml:space="preserve">Cross-reference with MTA Bus Stops (DS-035) for completeness.  | Open Data / agency portal; not individually fetched this session.</t>
  </si>
  <si>
    <t xml:space="preserve">DS-028</t>
  </si>
  <si>
    <t xml:space="preserve">No-Standing / No-Parking signs</t>
  </si>
  <si>
    <t xml:space="preserve">Filter for hospital-adjacency no-standing zones — underpins §20-465(b)(v).</t>
  </si>
  <si>
    <t xml:space="preserve">Sign-by-sign data — needs spatial join to hospitals to derive the no-vending polygon.  | Open Data / agency portal; not individually fetched this session.</t>
  </si>
  <si>
    <t xml:space="preserve">DS-029</t>
  </si>
  <si>
    <t xml:space="preserve">Curb-cut / Driveway inventory</t>
  </si>
  <si>
    <t xml:space="preserve">Uncertain</t>
  </si>
  <si>
    <t xml:space="preserve">Gap / request to agency</t>
  </si>
  <si>
    <t xml:space="preserve">10-ft driveway-buffer rule. No clean citywide layer found in public open data.</t>
  </si>
  <si>
    <t xml:space="preserve">Likely partial coverage in DOT records; fallback is OSM/building-footprint derivation.  | URL carried from v1.0; not independently confirmed this session.</t>
  </si>
  <si>
    <t xml:space="preserve">DS-030</t>
  </si>
  <si>
    <t xml:space="preserve">DOT Sidewalk Inventory (if available)</t>
  </si>
  <si>
    <t xml:space="preserve">Production-grade sidewalk polygons would replace the community Sidewalk Widths NYC dataset.</t>
  </si>
  <si>
    <t xml:space="preserve">May be in progress at DOT.  | URL carried from v1.0; not independently confirmed this session.</t>
  </si>
  <si>
    <t xml:space="preserve">DS-031</t>
  </si>
  <si>
    <t xml:space="preserve">Crosswalks (derived from CSCL intersection nodes)</t>
  </si>
  <si>
    <t xml:space="preserve">Derived</t>
  </si>
  <si>
    <t xml:space="preserve">Derived in-house</t>
  </si>
  <si>
    <t xml:space="preserve">10-ft crosswalk buffer per §20-465(b)(iv).</t>
  </si>
  <si>
    <t xml:space="preserve">Compute from CSCL intersections; verify against signalized intersection list.  | URL carried from v1.0; not independently confirmed this session.</t>
  </si>
  <si>
    <t xml:space="preserve">DS-032</t>
  </si>
  <si>
    <t xml:space="preserve">DPR</t>
  </si>
  <si>
    <t xml:space="preserve">Parks Properties (polygons)</t>
  </si>
  <si>
    <t xml:space="preserve">Mask park surfaces from the legal-vending canvas; vending in parks is out of scope.</t>
  </si>
  <si>
    <t xml:space="preserve">Surface as 'out of scope' rather than 'prohibited' in the UX.  | Open Data / agency portal; not individually fetched this session.</t>
  </si>
  <si>
    <t xml:space="preserve">DS-033</t>
  </si>
  <si>
    <t xml:space="preserve">DOE</t>
  </si>
  <si>
    <t xml:space="preserve">School Point Locations</t>
  </si>
  <si>
    <t xml:space="preserve">School-hours restrictions for food vendors; cross-reference with DOHMH list for explicit segment restrictions.</t>
  </si>
  <si>
    <t xml:space="preserve">Verify whether school-hours rules are encoded in the DOHMH list or applied separately.  | Open Data / agency portal; not individually fetched this session.</t>
  </si>
  <si>
    <t xml:space="preserve">DS-034</t>
  </si>
  <si>
    <t xml:space="preserve">MTA / NYS</t>
  </si>
  <si>
    <t xml:space="preserve">Subway Entrances and Exits 2024</t>
  </si>
  <si>
    <t xml:space="preserve">GeoJSON / API (Socrata)</t>
  </si>
  <si>
    <t xml:space="preserve">D3 (subway buffers)</t>
  </si>
  <si>
    <t xml:space="preserve">10-ft subway entrance buffer; 5,000+ point features statewide. Critical density input.</t>
  </si>
  <si>
    <t xml:space="preserve">Confirm 2025/2026 release schedule with MTA Open Data.  | Open Data / agency portal; not individually fetched this session.</t>
  </si>
  <si>
    <t xml:space="preserve">DS-035</t>
  </si>
  <si>
    <t xml:space="preserve">MTA Bus Stops</t>
  </si>
  <si>
    <t xml:space="preserve">GeoJSON / API</t>
  </si>
  <si>
    <t xml:space="preserve">No-vending-at-bus-stops rule, broader than just sheltered stops.</t>
  </si>
  <si>
    <t xml:space="preserve">Union with DS-027 (sheltered) for complete coverage.  | Open Data / agency portal; not individually fetched this session.</t>
  </si>
  <si>
    <t xml:space="preserve">DS-036</t>
  </si>
  <si>
    <t xml:space="preserve">FDNY / DEP</t>
  </si>
  <si>
    <t xml:space="preserve">Fire Hydrants</t>
  </si>
  <si>
    <t xml:space="preserve">Vending against hydrants is prohibited; anchor for ~15-ft buffer.</t>
  </si>
  <si>
    <t xml:space="preserve">Combine with DEP hydrant data for completeness.  | Open Data / agency portal; not individually fetched this session.</t>
  </si>
  <si>
    <t xml:space="preserve">DS-037</t>
  </si>
  <si>
    <t xml:space="preserve">Sidewalk ventilation grates</t>
  </si>
  <si>
    <t xml:space="preserve">Gap</t>
  </si>
  <si>
    <t xml:space="preserve">§20-465(a) prohibits vending on ventilation grilles. No public citywide layer identified.</t>
  </si>
  <si>
    <t xml:space="preserve">Likely uncovered in v1; document as known limitation. Possible OSM contribution path.  | URL carried from v1.0; not independently confirmed this session.</t>
  </si>
  <si>
    <t xml:space="preserve">DS-038</t>
  </si>
  <si>
    <t xml:space="preserve">OTI / Open Data</t>
  </si>
  <si>
    <t xml:space="preserve">311 Service Requests (vendor-related)</t>
  </si>
  <si>
    <t xml:space="preserve">CSV / API (Socrata)</t>
  </si>
  <si>
    <t xml:space="preserve">Pre/post complaint-volume measurement per §IV.4.a; filter complaint_type for vendor descriptors.</t>
  </si>
  <si>
    <t xml:space="preserve">Validate vendor-related complaint type values with SBS during Phase 1.  | Open Data / agency portal; not individually fetched this session.</t>
  </si>
  <si>
    <t xml:space="preserve">DS-039</t>
  </si>
  <si>
    <t xml:space="preserve">SAM (Streets and Address Matching) Address Points</t>
  </si>
  <si>
    <t xml:space="preserve">Shp / API</t>
  </si>
  <si>
    <t xml:space="preserve">Address-to-point geocoding for the address-search feature (§4.C bullet 3).</t>
  </si>
  <si>
    <t xml:space="preserve">Compare with USPS / Google Geocoding fallback.  | URL carried from v1.0; not independently confirmed this session.</t>
  </si>
  <si>
    <t xml:space="preserve">DS-040</t>
  </si>
  <si>
    <t xml:space="preserve">Community / OSM</t>
  </si>
  <si>
    <t xml:space="preserve">Sidewalk Widths NYC</t>
  </si>
  <si>
    <t xml:space="preserve">GeoJSON</t>
  </si>
  <si>
    <t xml:space="preserve">Public (OSM derivative)</t>
  </si>
  <si>
    <t xml:space="preserve">Per-segment sidewalk widths — required to evaluate the 12-ft pedestrian-clearance rule.</t>
  </si>
  <si>
    <t xml:space="preserve">Community-maintained. Replace with DS-030 if DOT releases an authoritative version.  | URL carried from v1.0; not independently confirmed this session.</t>
  </si>
  <si>
    <t xml:space="preserve">DS-041</t>
  </si>
  <si>
    <t xml:space="preserve">Sidewalk polygons (DCP)</t>
  </si>
  <si>
    <t xml:space="preserve">Authoritative sidewalk geometry; pairs with DS-040 widths and DS-013 CSCL.</t>
  </si>
  <si>
    <t xml:space="preserve">Validate against DOT's inventory if DS-030 surfaces.  | URL carried from v1.0; not independently confirmed this session.</t>
  </si>
  <si>
    <t xml:space="preserve">Critical Path — P1 Datasets Blocking Rule Encoding (Deliverable #3)</t>
  </si>
  <si>
    <t xml:space="preserve">These 8 datasets gate Phase 2 rule translation. None can begin until the contract is executed and SBS makes agency introductions (per E.D. Kaufman-Gutierrez, 2026-06-03 kickoff).</t>
  </si>
  <si>
    <t xml:space="preserve">Agency</t>
  </si>
  <si>
    <t xml:space="preserve">Dataset</t>
  </si>
  <si>
    <t xml:space="preserve">Why critical</t>
  </si>
  <si>
    <t xml:space="preserve">Acquisition route</t>
  </si>
  <si>
    <t xml:space="preserve">Public source confirmed</t>
  </si>
  <si>
    <t xml:space="preserve">Unverified — internal inventory</t>
  </si>
  <si>
    <t xml:space="preserve">Status Dashboard</t>
  </si>
  <si>
    <t xml:space="preserve">Live counts via formula. Update the Status column on Master Tracker; this recalculates.</t>
  </si>
  <si>
    <t xml:space="preserve">By Status</t>
  </si>
  <si>
    <t xml:space="preserve">By Priority</t>
  </si>
  <si>
    <t xml:space="preserve">Count</t>
  </si>
  <si>
    <t xml:space="preserve">In progress</t>
  </si>
  <si>
    <t xml:space="preserve">Acquired</t>
  </si>
  <si>
    <t xml:space="preserve">Blocked</t>
  </si>
  <si>
    <t xml:space="preserve">TOTAL</t>
  </si>
  <si>
    <t xml:space="preserve">Verification status (2026-06-03)</t>
  </si>
  <si>
    <t xml:space="preserve">Independently verified / public confirmed this session</t>
  </si>
  <si>
    <t xml:space="preserve">Unverified (carried from internal inventory)</t>
  </si>
  <si>
    <t xml:space="preserve">Change Log — what changed from inventory v1.0 → tracker v2.0</t>
  </si>
  <si>
    <t xml:space="preserve">Date</t>
  </si>
  <si>
    <t xml:space="preserve">Change</t>
  </si>
  <si>
    <t xml:space="preserve">Detail</t>
  </si>
  <si>
    <t xml:space="preserve">2026-06-03</t>
  </si>
  <si>
    <t xml:space="preserve">Restructured into official tracker</t>
  </si>
  <si>
    <t xml:space="preserve">Added Blocks-deliverable, Verification, and Status-dashboard sheets so engineering/PM can audit.</t>
  </si>
  <si>
    <t xml:space="preserve">Verified DS-007 = the public DCWP map</t>
  </si>
  <si>
    <t xml:space="preserve">Confirmed the ArcGIS Experience URL is live and IS the official NYC General Vendor Street Restrictions Map. Reuse, do not rebuild.</t>
  </si>
  <si>
    <t xml:space="preserve">Confirmed DOHMH public MFV map</t>
  </si>
  <si>
    <t xml:space="preserve">Live at a816-dohbesp.nyc.gov/IndicatorPublic/mobilefoodvending. DS-001 GIS export still must be requested separately.</t>
  </si>
  <si>
    <t xml:space="preserve">Flagged unverified links</t>
  </si>
  <si>
    <t xml:space="preserve">All DS rows not independently confirmed this session are marked "Unverified — from internal inventory."</t>
  </si>
  <si>
    <t xml:space="preserve">See Open Questions Log</t>
  </si>
  <si>
    <t xml:space="preserve">WTC north-border (Vesey vs Barclay) and First-Amendment-follows-Blue conflicts logged for agency verification before encoding.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</si>
</sst>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u val="single"/>
      <sz val="8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CE4E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CE4E4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open%20&#8599;" TargetMode="External"/><Relationship Id="rId2" Type="http://schemas.openxmlformats.org/officeDocument/2006/relationships/hyperlink" Target="open%20&#8599;" TargetMode="External"/><Relationship Id="rId3" Type="http://schemas.openxmlformats.org/officeDocument/2006/relationships/hyperlink" Target="open%20&#8599;" TargetMode="External"/><Relationship Id="rId4" Type="http://schemas.openxmlformats.org/officeDocument/2006/relationships/hyperlink" Target="open%20&#8599;" TargetMode="External"/><Relationship Id="rId5" Type="http://schemas.openxmlformats.org/officeDocument/2006/relationships/hyperlink" Target="open%20&#8599;" TargetMode="External"/><Relationship Id="rId6" Type="http://schemas.openxmlformats.org/officeDocument/2006/relationships/hyperlink" Target="open%20&#8599;" TargetMode="External"/><Relationship Id="rId7" Type="http://schemas.openxmlformats.org/officeDocument/2006/relationships/hyperlink" Target="open%20&#8599;" TargetMode="External"/><Relationship Id="rId8" Type="http://schemas.openxmlformats.org/officeDocument/2006/relationships/hyperlink" Target="open%20&#8599;" TargetMode="External"/><Relationship Id="rId9" Type="http://schemas.openxmlformats.org/officeDocument/2006/relationships/hyperlink" Target="open%20&#8599;" TargetMode="External"/><Relationship Id="rId10" Type="http://schemas.openxmlformats.org/officeDocument/2006/relationships/hyperlink" Target="open%20&#8599;" TargetMode="External"/><Relationship Id="rId11" Type="http://schemas.openxmlformats.org/officeDocument/2006/relationships/hyperlink" Target="open%20&#8599;" TargetMode="External"/><Relationship Id="rId12" Type="http://schemas.openxmlformats.org/officeDocument/2006/relationships/hyperlink" Target="open%20&#8599;" TargetMode="External"/><Relationship Id="rId13" Type="http://schemas.openxmlformats.org/officeDocument/2006/relationships/hyperlink" Target="open%20&#8599;" TargetMode="External"/><Relationship Id="rId14" Type="http://schemas.openxmlformats.org/officeDocument/2006/relationships/hyperlink" Target="open%20&#8599;" TargetMode="External"/><Relationship Id="rId15" Type="http://schemas.openxmlformats.org/officeDocument/2006/relationships/hyperlink" Target="open%20&#8599;" TargetMode="External"/><Relationship Id="rId16" Type="http://schemas.openxmlformats.org/officeDocument/2006/relationships/hyperlink" Target="open%20&#8599;" TargetMode="External"/><Relationship Id="rId17" Type="http://schemas.openxmlformats.org/officeDocument/2006/relationships/hyperlink" Target="open%20&#8599;" TargetMode="External"/><Relationship Id="rId18" Type="http://schemas.openxmlformats.org/officeDocument/2006/relationships/hyperlink" Target="open%20&#8599;" TargetMode="External"/><Relationship Id="rId19" Type="http://schemas.openxmlformats.org/officeDocument/2006/relationships/hyperlink" Target="open%20&#8599;" TargetMode="External"/><Relationship Id="rId20" Type="http://schemas.openxmlformats.org/officeDocument/2006/relationships/hyperlink" Target="open%20&#8599;" TargetMode="External"/><Relationship Id="rId21" Type="http://schemas.openxmlformats.org/officeDocument/2006/relationships/hyperlink" Target="open%20&#8599;" TargetMode="External"/><Relationship Id="rId22" Type="http://schemas.openxmlformats.org/officeDocument/2006/relationships/hyperlink" Target="open%20&#8599;" TargetMode="External"/><Relationship Id="rId23" Type="http://schemas.openxmlformats.org/officeDocument/2006/relationships/hyperlink" Target="open%20&#8599;" TargetMode="External"/><Relationship Id="rId24" Type="http://schemas.openxmlformats.org/officeDocument/2006/relationships/hyperlink" Target="open%20&#8599;" TargetMode="External"/><Relationship Id="rId25" Type="http://schemas.openxmlformats.org/officeDocument/2006/relationships/hyperlink" Target="open%20&#8599;" TargetMode="External"/><Relationship Id="rId26" Type="http://schemas.openxmlformats.org/officeDocument/2006/relationships/hyperlink" Target="open%20&#8599;" TargetMode="External"/><Relationship Id="rId27" Type="http://schemas.openxmlformats.org/officeDocument/2006/relationships/hyperlink" Target="open%20&#8599;" TargetMode="External"/><Relationship Id="rId28" Type="http://schemas.openxmlformats.org/officeDocument/2006/relationships/hyperlink" Target="open%20&#8599;" TargetMode="External"/><Relationship Id="rId29" Type="http://schemas.openxmlformats.org/officeDocument/2006/relationships/hyperlink" Target="open%20&#8599;" TargetMode="External"/><Relationship Id="rId30" Type="http://schemas.openxmlformats.org/officeDocument/2006/relationships/hyperlink" Target="open%20&#8599;" TargetMode="External"/><Relationship Id="rId31" Type="http://schemas.openxmlformats.org/officeDocument/2006/relationships/hyperlink" Target="open%20&#8599;" TargetMode="External"/><Relationship Id="rId32" Type="http://schemas.openxmlformats.org/officeDocument/2006/relationships/hyperlink" Target="open%20&#8599;" TargetMode="External"/><Relationship Id="rId33" Type="http://schemas.openxmlformats.org/officeDocument/2006/relationships/hyperlink" Target="open%20&#8599;" TargetMode="External"/><Relationship Id="rId34" Type="http://schemas.openxmlformats.org/officeDocument/2006/relationships/hyperlink" Target="open%20&#8599;" TargetMode="External"/><Relationship Id="rId35" Type="http://schemas.openxmlformats.org/officeDocument/2006/relationships/hyperlink" Target="open%20&#8599;" TargetMode="External"/><Relationship Id="rId36" Type="http://schemas.openxmlformats.org/officeDocument/2006/relationships/hyperlink" Target="open%20&#8599;" TargetMode="External"/><Relationship Id="rId37" Type="http://schemas.openxmlformats.org/officeDocument/2006/relationships/hyperlink" Target="open%20&#8599;" TargetMode="External"/><Relationship Id="rId38" Type="http://schemas.openxmlformats.org/officeDocument/2006/relationships/hyperlink" Target="open%20&#8599;" TargetMode="External"/><Relationship Id="rId39" Type="http://schemas.openxmlformats.org/officeDocument/2006/relationships/hyperlink" Target="open%20&#8599;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7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30"/>
    <col collapsed="false" customWidth="true" hidden="false" outlineLevel="0" max="12" min="12" style="0" width="26"/>
    <col collapsed="false" customWidth="true" hidden="false" outlineLevel="0" max="13" min="13" style="0" width="40"/>
    <col collapsed="false" customWidth="true" hidden="false" outlineLevel="0" max="14" min="14" style="0" width="18"/>
    <col collapsed="false" customWidth="true" hidden="false" outlineLevel="0" max="16" min="15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0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</row>
    <row r="6" customFormat="false" ht="74.6" hidden="false" customHeight="false" outlineLevel="0" collapsed="false">
      <c r="A6" s="4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F6" s="4" t="s">
        <v>24</v>
      </c>
      <c r="G6" s="4" t="s">
        <v>25</v>
      </c>
      <c r="H6" s="4" t="s">
        <v>26</v>
      </c>
      <c r="I6" s="4" t="s">
        <v>27</v>
      </c>
      <c r="J6" s="4" t="s">
        <v>28</v>
      </c>
      <c r="K6" s="5" t="s">
        <v>29</v>
      </c>
      <c r="L6" s="4" t="s">
        <v>30</v>
      </c>
      <c r="M6" s="4" t="s">
        <v>31</v>
      </c>
      <c r="N6" s="4" t="s">
        <v>32</v>
      </c>
      <c r="O6" s="4" t="s">
        <v>33</v>
      </c>
      <c r="P6" s="4" t="s">
        <v>34</v>
      </c>
    </row>
    <row r="7" customFormat="false" ht="32.8" hidden="false" customHeight="false" outlineLevel="0" collapsed="false">
      <c r="A7" s="6" t="s">
        <v>35</v>
      </c>
      <c r="B7" s="6" t="s">
        <v>20</v>
      </c>
      <c r="C7" s="6" t="s">
        <v>36</v>
      </c>
      <c r="D7" s="6" t="s">
        <v>37</v>
      </c>
      <c r="E7" s="6" t="s">
        <v>38</v>
      </c>
      <c r="F7" s="6" t="s">
        <v>39</v>
      </c>
      <c r="G7" s="6" t="s">
        <v>40</v>
      </c>
      <c r="H7" s="6" t="s">
        <v>41</v>
      </c>
      <c r="I7" s="6" t="s">
        <v>42</v>
      </c>
      <c r="J7" s="6" t="s">
        <v>43</v>
      </c>
      <c r="K7" s="7" t="s">
        <v>29</v>
      </c>
      <c r="L7" s="6" t="s">
        <v>44</v>
      </c>
      <c r="M7" s="6" t="s">
        <v>45</v>
      </c>
      <c r="N7" s="6" t="s">
        <v>32</v>
      </c>
      <c r="O7" s="6" t="s">
        <v>46</v>
      </c>
      <c r="P7" s="6" t="s">
        <v>34</v>
      </c>
    </row>
    <row r="8" customFormat="false" ht="32.8" hidden="false" customHeight="false" outlineLevel="0" collapsed="false">
      <c r="A8" s="4" t="s">
        <v>47</v>
      </c>
      <c r="B8" s="4" t="s">
        <v>20</v>
      </c>
      <c r="C8" s="4" t="s">
        <v>48</v>
      </c>
      <c r="D8" s="4" t="s">
        <v>22</v>
      </c>
      <c r="E8" s="4" t="s">
        <v>49</v>
      </c>
      <c r="F8" s="4" t="s">
        <v>24</v>
      </c>
      <c r="G8" s="4" t="s">
        <v>25</v>
      </c>
      <c r="H8" s="4" t="s">
        <v>50</v>
      </c>
      <c r="I8" s="4" t="s">
        <v>42</v>
      </c>
      <c r="J8" s="4" t="s">
        <v>51</v>
      </c>
      <c r="K8" s="5" t="s">
        <v>29</v>
      </c>
      <c r="L8" s="4" t="s">
        <v>52</v>
      </c>
      <c r="M8" s="4" t="s">
        <v>53</v>
      </c>
      <c r="N8" s="4" t="s">
        <v>32</v>
      </c>
      <c r="O8" s="4" t="s">
        <v>54</v>
      </c>
      <c r="P8" s="4" t="s">
        <v>34</v>
      </c>
    </row>
    <row r="9" customFormat="false" ht="32.8" hidden="false" customHeight="false" outlineLevel="0" collapsed="false">
      <c r="A9" s="6" t="s">
        <v>55</v>
      </c>
      <c r="B9" s="6" t="s">
        <v>20</v>
      </c>
      <c r="C9" s="6" t="s">
        <v>56</v>
      </c>
      <c r="D9" s="6" t="s">
        <v>57</v>
      </c>
      <c r="E9" s="6" t="s">
        <v>58</v>
      </c>
      <c r="F9" s="6" t="s">
        <v>59</v>
      </c>
      <c r="G9" s="6" t="s">
        <v>40</v>
      </c>
      <c r="H9" s="6" t="s">
        <v>60</v>
      </c>
      <c r="I9" s="6" t="s">
        <v>61</v>
      </c>
      <c r="J9" s="6" t="s">
        <v>62</v>
      </c>
      <c r="K9" s="7" t="s">
        <v>29</v>
      </c>
      <c r="L9" s="6" t="s">
        <v>63</v>
      </c>
      <c r="M9" s="6" t="s">
        <v>64</v>
      </c>
      <c r="N9" s="6" t="s">
        <v>32</v>
      </c>
      <c r="O9" s="6" t="s">
        <v>65</v>
      </c>
      <c r="P9" s="6" t="s">
        <v>34</v>
      </c>
    </row>
    <row r="10" customFormat="false" ht="43.25" hidden="false" customHeight="false" outlineLevel="0" collapsed="false">
      <c r="A10" s="4" t="s">
        <v>66</v>
      </c>
      <c r="B10" s="4" t="s">
        <v>20</v>
      </c>
      <c r="C10" s="4" t="s">
        <v>67</v>
      </c>
      <c r="D10" s="4" t="s">
        <v>22</v>
      </c>
      <c r="E10" s="4" t="s">
        <v>49</v>
      </c>
      <c r="F10" s="4" t="s">
        <v>24</v>
      </c>
      <c r="G10" s="4" t="s">
        <v>25</v>
      </c>
      <c r="H10" s="4" t="s">
        <v>68</v>
      </c>
      <c r="I10" s="4" t="s">
        <v>69</v>
      </c>
      <c r="J10" s="4" t="s">
        <v>70</v>
      </c>
      <c r="K10" s="5" t="s">
        <v>29</v>
      </c>
      <c r="L10" s="4" t="s">
        <v>52</v>
      </c>
      <c r="M10" s="4" t="s">
        <v>71</v>
      </c>
      <c r="N10" s="4" t="s">
        <v>32</v>
      </c>
      <c r="O10" s="4" t="s">
        <v>33</v>
      </c>
      <c r="P10" s="4" t="s">
        <v>34</v>
      </c>
    </row>
    <row r="11" customFormat="false" ht="32.8" hidden="false" customHeight="false" outlineLevel="0" collapsed="false">
      <c r="A11" s="6" t="s">
        <v>72</v>
      </c>
      <c r="B11" s="6" t="s">
        <v>20</v>
      </c>
      <c r="C11" s="6" t="s">
        <v>73</v>
      </c>
      <c r="D11" s="6" t="s">
        <v>74</v>
      </c>
      <c r="E11" s="6" t="s">
        <v>75</v>
      </c>
      <c r="F11" s="6" t="s">
        <v>59</v>
      </c>
      <c r="G11" s="6" t="s">
        <v>40</v>
      </c>
      <c r="H11" s="6" t="s">
        <v>60</v>
      </c>
      <c r="I11" s="6" t="s">
        <v>76</v>
      </c>
      <c r="J11" s="6" t="s">
        <v>77</v>
      </c>
      <c r="K11" s="7" t="s">
        <v>29</v>
      </c>
      <c r="L11" s="6" t="s">
        <v>63</v>
      </c>
      <c r="M11" s="6" t="s">
        <v>78</v>
      </c>
      <c r="N11" s="6" t="s">
        <v>32</v>
      </c>
      <c r="O11" s="6" t="s">
        <v>33</v>
      </c>
      <c r="P11" s="6" t="s">
        <v>34</v>
      </c>
    </row>
    <row r="12" customFormat="false" ht="53.7" hidden="false" customHeight="false" outlineLevel="0" collapsed="false">
      <c r="A12" s="4" t="s">
        <v>79</v>
      </c>
      <c r="B12" s="4" t="s">
        <v>80</v>
      </c>
      <c r="C12" s="4" t="s">
        <v>81</v>
      </c>
      <c r="D12" s="4" t="s">
        <v>22</v>
      </c>
      <c r="E12" s="4" t="s">
        <v>82</v>
      </c>
      <c r="F12" s="4" t="s">
        <v>83</v>
      </c>
      <c r="G12" s="4" t="s">
        <v>25</v>
      </c>
      <c r="H12" s="4" t="s">
        <v>84</v>
      </c>
      <c r="I12" s="4" t="s">
        <v>42</v>
      </c>
      <c r="J12" s="4" t="s">
        <v>85</v>
      </c>
      <c r="K12" s="5" t="s">
        <v>29</v>
      </c>
      <c r="L12" s="4" t="s">
        <v>44</v>
      </c>
      <c r="M12" s="4" t="s">
        <v>86</v>
      </c>
      <c r="N12" s="4" t="s">
        <v>32</v>
      </c>
      <c r="O12" s="4" t="s">
        <v>33</v>
      </c>
      <c r="P12" s="4" t="s">
        <v>34</v>
      </c>
    </row>
    <row r="13" customFormat="false" ht="43.25" hidden="false" customHeight="false" outlineLevel="0" collapsed="false">
      <c r="A13" s="6" t="s">
        <v>87</v>
      </c>
      <c r="B13" s="6" t="s">
        <v>80</v>
      </c>
      <c r="C13" s="6" t="s">
        <v>88</v>
      </c>
      <c r="D13" s="6" t="s">
        <v>22</v>
      </c>
      <c r="E13" s="6" t="s">
        <v>89</v>
      </c>
      <c r="F13" s="6" t="s">
        <v>24</v>
      </c>
      <c r="G13" s="6" t="s">
        <v>40</v>
      </c>
      <c r="H13" s="6" t="s">
        <v>60</v>
      </c>
      <c r="I13" s="6" t="s">
        <v>42</v>
      </c>
      <c r="J13" s="6" t="s">
        <v>90</v>
      </c>
      <c r="K13" s="7" t="s">
        <v>29</v>
      </c>
      <c r="L13" s="6" t="s">
        <v>52</v>
      </c>
      <c r="M13" s="6" t="s">
        <v>91</v>
      </c>
      <c r="N13" s="6" t="s">
        <v>32</v>
      </c>
      <c r="O13" s="6" t="s">
        <v>92</v>
      </c>
      <c r="P13" s="6" t="s">
        <v>34</v>
      </c>
    </row>
    <row r="14" customFormat="false" ht="32.8" hidden="false" customHeight="false" outlineLevel="0" collapsed="false">
      <c r="A14" s="6" t="s">
        <v>93</v>
      </c>
      <c r="B14" s="6" t="s">
        <v>80</v>
      </c>
      <c r="C14" s="6" t="s">
        <v>94</v>
      </c>
      <c r="D14" s="6" t="s">
        <v>57</v>
      </c>
      <c r="E14" s="6" t="s">
        <v>58</v>
      </c>
      <c r="F14" s="6" t="s">
        <v>59</v>
      </c>
      <c r="G14" s="6" t="s">
        <v>40</v>
      </c>
      <c r="H14" s="6" t="s">
        <v>60</v>
      </c>
      <c r="I14" s="6" t="s">
        <v>76</v>
      </c>
      <c r="J14" s="6" t="s">
        <v>95</v>
      </c>
      <c r="K14" s="7" t="s">
        <v>29</v>
      </c>
      <c r="L14" s="6" t="s">
        <v>63</v>
      </c>
      <c r="M14" s="6" t="s">
        <v>96</v>
      </c>
      <c r="N14" s="6" t="s">
        <v>32</v>
      </c>
      <c r="O14" s="6" t="s">
        <v>33</v>
      </c>
      <c r="P14" s="6" t="s">
        <v>34</v>
      </c>
    </row>
    <row r="15" customFormat="false" ht="32.8" hidden="false" customHeight="false" outlineLevel="0" collapsed="false">
      <c r="A15" s="6" t="s">
        <v>97</v>
      </c>
      <c r="B15" s="6" t="s">
        <v>80</v>
      </c>
      <c r="C15" s="6" t="s">
        <v>98</v>
      </c>
      <c r="D15" s="6" t="s">
        <v>57</v>
      </c>
      <c r="E15" s="6" t="s">
        <v>49</v>
      </c>
      <c r="F15" s="6" t="s">
        <v>24</v>
      </c>
      <c r="G15" s="6" t="s">
        <v>40</v>
      </c>
      <c r="H15" s="6" t="s">
        <v>60</v>
      </c>
      <c r="I15" s="6" t="s">
        <v>76</v>
      </c>
      <c r="J15" s="6" t="s">
        <v>99</v>
      </c>
      <c r="K15" s="7" t="s">
        <v>29</v>
      </c>
      <c r="L15" s="6" t="s">
        <v>52</v>
      </c>
      <c r="M15" s="6" t="s">
        <v>100</v>
      </c>
      <c r="N15" s="6" t="s">
        <v>32</v>
      </c>
      <c r="O15" s="6" t="s">
        <v>92</v>
      </c>
      <c r="P15" s="6" t="s">
        <v>34</v>
      </c>
    </row>
    <row r="16" customFormat="false" ht="32.8" hidden="false" customHeight="false" outlineLevel="0" collapsed="false">
      <c r="A16" s="6" t="s">
        <v>101</v>
      </c>
      <c r="B16" s="6" t="s">
        <v>80</v>
      </c>
      <c r="C16" s="6" t="s">
        <v>102</v>
      </c>
      <c r="D16" s="6" t="s">
        <v>57</v>
      </c>
      <c r="E16" s="6" t="s">
        <v>49</v>
      </c>
      <c r="F16" s="6" t="s">
        <v>24</v>
      </c>
      <c r="G16" s="6" t="s">
        <v>103</v>
      </c>
      <c r="H16" s="6" t="s">
        <v>60</v>
      </c>
      <c r="I16" s="6" t="s">
        <v>42</v>
      </c>
      <c r="J16" s="6" t="s">
        <v>104</v>
      </c>
      <c r="K16" s="7" t="s">
        <v>29</v>
      </c>
      <c r="L16" s="6" t="s">
        <v>52</v>
      </c>
      <c r="M16" s="6" t="s">
        <v>105</v>
      </c>
      <c r="N16" s="6" t="s">
        <v>32</v>
      </c>
      <c r="O16" s="6" t="s">
        <v>106</v>
      </c>
      <c r="P16" s="6" t="s">
        <v>34</v>
      </c>
    </row>
    <row r="17" customFormat="false" ht="32.8" hidden="false" customHeight="false" outlineLevel="0" collapsed="false">
      <c r="A17" s="4" t="s">
        <v>107</v>
      </c>
      <c r="B17" s="4" t="s">
        <v>108</v>
      </c>
      <c r="C17" s="4" t="s">
        <v>109</v>
      </c>
      <c r="D17" s="4" t="s">
        <v>22</v>
      </c>
      <c r="E17" s="4" t="s">
        <v>110</v>
      </c>
      <c r="F17" s="4" t="s">
        <v>39</v>
      </c>
      <c r="G17" s="4" t="s">
        <v>25</v>
      </c>
      <c r="H17" s="4" t="s">
        <v>111</v>
      </c>
      <c r="I17" s="4" t="s">
        <v>76</v>
      </c>
      <c r="J17" s="4" t="s">
        <v>112</v>
      </c>
      <c r="K17" s="5" t="s">
        <v>29</v>
      </c>
      <c r="L17" s="4" t="s">
        <v>63</v>
      </c>
      <c r="M17" s="4" t="s">
        <v>113</v>
      </c>
      <c r="N17" s="4" t="s">
        <v>32</v>
      </c>
      <c r="O17" s="4" t="s">
        <v>114</v>
      </c>
      <c r="P17" s="4" t="s">
        <v>34</v>
      </c>
    </row>
    <row r="18" customFormat="false" ht="32.8" hidden="false" customHeight="false" outlineLevel="0" collapsed="false">
      <c r="A18" s="4" t="s">
        <v>115</v>
      </c>
      <c r="B18" s="4" t="s">
        <v>108</v>
      </c>
      <c r="C18" s="4" t="s">
        <v>116</v>
      </c>
      <c r="D18" s="4" t="s">
        <v>117</v>
      </c>
      <c r="E18" s="4" t="s">
        <v>110</v>
      </c>
      <c r="F18" s="4" t="s">
        <v>39</v>
      </c>
      <c r="G18" s="4" t="s">
        <v>25</v>
      </c>
      <c r="H18" s="4" t="s">
        <v>118</v>
      </c>
      <c r="I18" s="4" t="s">
        <v>119</v>
      </c>
      <c r="J18" s="4" t="s">
        <v>120</v>
      </c>
      <c r="K18" s="5" t="s">
        <v>29</v>
      </c>
      <c r="L18" s="4" t="s">
        <v>63</v>
      </c>
      <c r="M18" s="4" t="s">
        <v>121</v>
      </c>
      <c r="N18" s="4" t="s">
        <v>32</v>
      </c>
      <c r="O18" s="4" t="s">
        <v>114</v>
      </c>
      <c r="P18" s="4" t="s">
        <v>34</v>
      </c>
    </row>
    <row r="19" customFormat="false" ht="43.25" hidden="false" customHeight="false" outlineLevel="0" collapsed="false">
      <c r="A19" s="6" t="s">
        <v>122</v>
      </c>
      <c r="B19" s="6" t="s">
        <v>108</v>
      </c>
      <c r="C19" s="6" t="s">
        <v>123</v>
      </c>
      <c r="D19" s="6" t="s">
        <v>117</v>
      </c>
      <c r="E19" s="6" t="s">
        <v>124</v>
      </c>
      <c r="F19" s="6" t="s">
        <v>39</v>
      </c>
      <c r="G19" s="6" t="s">
        <v>40</v>
      </c>
      <c r="H19" s="6" t="s">
        <v>60</v>
      </c>
      <c r="I19" s="6" t="s">
        <v>76</v>
      </c>
      <c r="J19" s="6" t="s">
        <v>125</v>
      </c>
      <c r="K19" s="7" t="s">
        <v>29</v>
      </c>
      <c r="L19" s="6" t="s">
        <v>52</v>
      </c>
      <c r="M19" s="6" t="s">
        <v>126</v>
      </c>
      <c r="N19" s="6" t="s">
        <v>32</v>
      </c>
      <c r="O19" s="6" t="s">
        <v>65</v>
      </c>
      <c r="P19" s="6" t="s">
        <v>34</v>
      </c>
    </row>
    <row r="20" customFormat="false" ht="43.25" hidden="false" customHeight="false" outlineLevel="0" collapsed="false">
      <c r="A20" s="6" t="s">
        <v>127</v>
      </c>
      <c r="B20" s="6" t="s">
        <v>108</v>
      </c>
      <c r="C20" s="6" t="s">
        <v>128</v>
      </c>
      <c r="D20" s="6" t="s">
        <v>129</v>
      </c>
      <c r="E20" s="6" t="s">
        <v>110</v>
      </c>
      <c r="F20" s="6" t="s">
        <v>39</v>
      </c>
      <c r="G20" s="6" t="s">
        <v>40</v>
      </c>
      <c r="H20" s="6" t="s">
        <v>60</v>
      </c>
      <c r="I20" s="6" t="s">
        <v>119</v>
      </c>
      <c r="J20" s="6" t="s">
        <v>130</v>
      </c>
      <c r="K20" s="7" t="s">
        <v>29</v>
      </c>
      <c r="L20" s="6" t="s">
        <v>63</v>
      </c>
      <c r="M20" s="6" t="s">
        <v>131</v>
      </c>
      <c r="N20" s="6" t="s">
        <v>32</v>
      </c>
      <c r="O20" s="6" t="s">
        <v>65</v>
      </c>
      <c r="P20" s="6" t="s">
        <v>34</v>
      </c>
    </row>
    <row r="21" customFormat="false" ht="32.8" hidden="false" customHeight="false" outlineLevel="0" collapsed="false">
      <c r="A21" s="6" t="s">
        <v>132</v>
      </c>
      <c r="B21" s="6" t="s">
        <v>108</v>
      </c>
      <c r="C21" s="6" t="s">
        <v>133</v>
      </c>
      <c r="D21" s="6" t="s">
        <v>117</v>
      </c>
      <c r="E21" s="6" t="s">
        <v>134</v>
      </c>
      <c r="F21" s="6" t="s">
        <v>39</v>
      </c>
      <c r="G21" s="6" t="s">
        <v>103</v>
      </c>
      <c r="H21" s="6" t="s">
        <v>60</v>
      </c>
      <c r="I21" s="6" t="s">
        <v>76</v>
      </c>
      <c r="J21" s="6" t="s">
        <v>135</v>
      </c>
      <c r="K21" s="7" t="s">
        <v>29</v>
      </c>
      <c r="L21" s="6" t="s">
        <v>52</v>
      </c>
      <c r="M21" s="6" t="s">
        <v>136</v>
      </c>
      <c r="N21" s="6" t="s">
        <v>32</v>
      </c>
      <c r="O21" s="6" t="s">
        <v>33</v>
      </c>
      <c r="P21" s="6" t="s">
        <v>34</v>
      </c>
    </row>
    <row r="22" customFormat="false" ht="32.8" hidden="false" customHeight="false" outlineLevel="0" collapsed="false">
      <c r="A22" s="6" t="s">
        <v>137</v>
      </c>
      <c r="B22" s="6" t="s">
        <v>108</v>
      </c>
      <c r="C22" s="6" t="s">
        <v>138</v>
      </c>
      <c r="D22" s="6" t="s">
        <v>74</v>
      </c>
      <c r="E22" s="6" t="s">
        <v>139</v>
      </c>
      <c r="F22" s="6" t="s">
        <v>39</v>
      </c>
      <c r="G22" s="6" t="s">
        <v>40</v>
      </c>
      <c r="H22" s="6" t="s">
        <v>60</v>
      </c>
      <c r="I22" s="6" t="s">
        <v>69</v>
      </c>
      <c r="J22" s="6" t="s">
        <v>140</v>
      </c>
      <c r="K22" s="7" t="s">
        <v>29</v>
      </c>
      <c r="L22" s="6" t="s">
        <v>63</v>
      </c>
      <c r="M22" s="6" t="s">
        <v>141</v>
      </c>
      <c r="N22" s="6" t="s">
        <v>32</v>
      </c>
      <c r="O22" s="6" t="s">
        <v>65</v>
      </c>
      <c r="P22" s="6" t="s">
        <v>34</v>
      </c>
    </row>
    <row r="23" customFormat="false" ht="22.35" hidden="false" customHeight="false" outlineLevel="0" collapsed="false">
      <c r="A23" s="6" t="s">
        <v>142</v>
      </c>
      <c r="B23" s="6" t="s">
        <v>108</v>
      </c>
      <c r="C23" s="6" t="s">
        <v>143</v>
      </c>
      <c r="D23" s="6" t="s">
        <v>117</v>
      </c>
      <c r="E23" s="6" t="s">
        <v>110</v>
      </c>
      <c r="F23" s="6" t="s">
        <v>39</v>
      </c>
      <c r="G23" s="6" t="s">
        <v>103</v>
      </c>
      <c r="H23" s="6" t="s">
        <v>60</v>
      </c>
      <c r="I23" s="6" t="s">
        <v>69</v>
      </c>
      <c r="J23" s="6" t="s">
        <v>144</v>
      </c>
      <c r="K23" s="7" t="s">
        <v>29</v>
      </c>
      <c r="L23" s="6" t="s">
        <v>63</v>
      </c>
      <c r="M23" s="6" t="s">
        <v>145</v>
      </c>
      <c r="N23" s="6" t="s">
        <v>32</v>
      </c>
      <c r="O23" s="6" t="s">
        <v>114</v>
      </c>
      <c r="P23" s="6" t="s">
        <v>34</v>
      </c>
    </row>
    <row r="24" customFormat="false" ht="32.8" hidden="false" customHeight="false" outlineLevel="0" collapsed="false">
      <c r="A24" s="6" t="s">
        <v>146</v>
      </c>
      <c r="B24" s="6" t="s">
        <v>108</v>
      </c>
      <c r="C24" s="6" t="s">
        <v>147</v>
      </c>
      <c r="D24" s="6" t="s">
        <v>148</v>
      </c>
      <c r="E24" s="6" t="s">
        <v>139</v>
      </c>
      <c r="F24" s="6" t="s">
        <v>39</v>
      </c>
      <c r="G24" s="6" t="s">
        <v>103</v>
      </c>
      <c r="H24" s="6" t="s">
        <v>60</v>
      </c>
      <c r="I24" s="6" t="s">
        <v>42</v>
      </c>
      <c r="J24" s="6" t="s">
        <v>149</v>
      </c>
      <c r="K24" s="7" t="s">
        <v>29</v>
      </c>
      <c r="L24" s="6" t="s">
        <v>63</v>
      </c>
      <c r="M24" s="6" t="s">
        <v>150</v>
      </c>
      <c r="N24" s="6" t="s">
        <v>32</v>
      </c>
      <c r="O24" s="6" t="s">
        <v>151</v>
      </c>
      <c r="P24" s="6" t="s">
        <v>34</v>
      </c>
    </row>
    <row r="25" customFormat="false" ht="32.8" hidden="false" customHeight="false" outlineLevel="0" collapsed="false">
      <c r="A25" s="6" t="s">
        <v>152</v>
      </c>
      <c r="B25" s="6" t="s">
        <v>153</v>
      </c>
      <c r="C25" s="6" t="s">
        <v>154</v>
      </c>
      <c r="D25" s="6" t="s">
        <v>155</v>
      </c>
      <c r="E25" s="6" t="s">
        <v>49</v>
      </c>
      <c r="F25" s="6" t="s">
        <v>24</v>
      </c>
      <c r="G25" s="6" t="s">
        <v>40</v>
      </c>
      <c r="H25" s="6" t="s">
        <v>60</v>
      </c>
      <c r="I25" s="6" t="s">
        <v>42</v>
      </c>
      <c r="J25" s="6" t="s">
        <v>156</v>
      </c>
      <c r="K25" s="7" t="s">
        <v>29</v>
      </c>
      <c r="L25" s="6" t="s">
        <v>52</v>
      </c>
      <c r="M25" s="6" t="s">
        <v>157</v>
      </c>
      <c r="N25" s="6" t="s">
        <v>158</v>
      </c>
      <c r="O25" s="6" t="s">
        <v>33</v>
      </c>
      <c r="P25" s="6" t="s">
        <v>34</v>
      </c>
    </row>
    <row r="26" customFormat="false" ht="32.8" hidden="false" customHeight="false" outlineLevel="0" collapsed="false">
      <c r="A26" s="6" t="s">
        <v>159</v>
      </c>
      <c r="B26" s="6" t="s">
        <v>153</v>
      </c>
      <c r="C26" s="6" t="s">
        <v>160</v>
      </c>
      <c r="D26" s="6" t="s">
        <v>148</v>
      </c>
      <c r="E26" s="6" t="s">
        <v>110</v>
      </c>
      <c r="F26" s="6" t="s">
        <v>39</v>
      </c>
      <c r="G26" s="6" t="s">
        <v>103</v>
      </c>
      <c r="H26" s="6" t="s">
        <v>60</v>
      </c>
      <c r="I26" s="6" t="s">
        <v>69</v>
      </c>
      <c r="J26" s="6" t="s">
        <v>161</v>
      </c>
      <c r="K26" s="7" t="s">
        <v>29</v>
      </c>
      <c r="L26" s="6" t="s">
        <v>63</v>
      </c>
      <c r="M26" s="6" t="s">
        <v>162</v>
      </c>
      <c r="N26" s="6" t="s">
        <v>32</v>
      </c>
      <c r="O26" s="6" t="s">
        <v>33</v>
      </c>
      <c r="P26" s="6" t="s">
        <v>34</v>
      </c>
    </row>
    <row r="27" customFormat="false" ht="22.35" hidden="false" customHeight="false" outlineLevel="0" collapsed="false">
      <c r="A27" s="6" t="s">
        <v>163</v>
      </c>
      <c r="B27" s="6" t="s">
        <v>153</v>
      </c>
      <c r="C27" s="6" t="s">
        <v>164</v>
      </c>
      <c r="D27" s="6" t="s">
        <v>148</v>
      </c>
      <c r="E27" s="6" t="s">
        <v>58</v>
      </c>
      <c r="F27" s="6" t="s">
        <v>59</v>
      </c>
      <c r="G27" s="6" t="s">
        <v>103</v>
      </c>
      <c r="H27" s="6" t="s">
        <v>60</v>
      </c>
      <c r="I27" s="6" t="s">
        <v>76</v>
      </c>
      <c r="J27" s="6" t="s">
        <v>165</v>
      </c>
      <c r="K27" s="7" t="s">
        <v>29</v>
      </c>
      <c r="L27" s="6" t="s">
        <v>63</v>
      </c>
      <c r="M27" s="6" t="s">
        <v>166</v>
      </c>
      <c r="N27" s="6" t="s">
        <v>158</v>
      </c>
      <c r="O27" s="6" t="s">
        <v>151</v>
      </c>
      <c r="P27" s="6" t="s">
        <v>34</v>
      </c>
    </row>
    <row r="28" customFormat="false" ht="32.8" hidden="false" customHeight="false" outlineLevel="0" collapsed="false">
      <c r="A28" s="4" t="s">
        <v>167</v>
      </c>
      <c r="B28" s="4" t="s">
        <v>168</v>
      </c>
      <c r="C28" s="4" t="s">
        <v>169</v>
      </c>
      <c r="D28" s="4" t="s">
        <v>170</v>
      </c>
      <c r="E28" s="4" t="s">
        <v>49</v>
      </c>
      <c r="F28" s="4" t="s">
        <v>171</v>
      </c>
      <c r="G28" s="4" t="s">
        <v>25</v>
      </c>
      <c r="H28" s="4" t="s">
        <v>172</v>
      </c>
      <c r="I28" s="4" t="s">
        <v>173</v>
      </c>
      <c r="J28" s="4" t="s">
        <v>174</v>
      </c>
      <c r="K28" s="5" t="s">
        <v>29</v>
      </c>
      <c r="L28" s="4" t="s">
        <v>52</v>
      </c>
      <c r="M28" s="4" t="s">
        <v>175</v>
      </c>
      <c r="N28" s="4" t="s">
        <v>32</v>
      </c>
      <c r="O28" s="4" t="s">
        <v>54</v>
      </c>
      <c r="P28" s="4" t="s">
        <v>34</v>
      </c>
    </row>
    <row r="29" customFormat="false" ht="32.8" hidden="false" customHeight="false" outlineLevel="0" collapsed="false">
      <c r="A29" s="6" t="s">
        <v>176</v>
      </c>
      <c r="B29" s="6" t="s">
        <v>168</v>
      </c>
      <c r="C29" s="6" t="s">
        <v>177</v>
      </c>
      <c r="D29" s="6" t="s">
        <v>178</v>
      </c>
      <c r="E29" s="6" t="s">
        <v>49</v>
      </c>
      <c r="F29" s="6" t="s">
        <v>24</v>
      </c>
      <c r="G29" s="6" t="s">
        <v>103</v>
      </c>
      <c r="H29" s="6" t="s">
        <v>60</v>
      </c>
      <c r="I29" s="6" t="s">
        <v>42</v>
      </c>
      <c r="J29" s="6" t="s">
        <v>179</v>
      </c>
      <c r="K29" s="6"/>
      <c r="L29" s="6" t="s">
        <v>52</v>
      </c>
      <c r="M29" s="6" t="s">
        <v>180</v>
      </c>
      <c r="N29" s="6" t="s">
        <v>158</v>
      </c>
      <c r="O29" s="6" t="s">
        <v>106</v>
      </c>
      <c r="P29" s="6" t="s">
        <v>34</v>
      </c>
    </row>
    <row r="30" customFormat="false" ht="32.8" hidden="false" customHeight="false" outlineLevel="0" collapsed="false">
      <c r="A30" s="6" t="s">
        <v>181</v>
      </c>
      <c r="B30" s="6" t="s">
        <v>182</v>
      </c>
      <c r="C30" s="6" t="s">
        <v>183</v>
      </c>
      <c r="D30" s="6" t="s">
        <v>170</v>
      </c>
      <c r="E30" s="6" t="s">
        <v>184</v>
      </c>
      <c r="F30" s="6" t="s">
        <v>185</v>
      </c>
      <c r="G30" s="6" t="s">
        <v>40</v>
      </c>
      <c r="H30" s="6" t="s">
        <v>60</v>
      </c>
      <c r="I30" s="6" t="s">
        <v>173</v>
      </c>
      <c r="J30" s="6" t="s">
        <v>186</v>
      </c>
      <c r="K30" s="7" t="s">
        <v>29</v>
      </c>
      <c r="L30" s="6" t="s">
        <v>52</v>
      </c>
      <c r="M30" s="6" t="s">
        <v>187</v>
      </c>
      <c r="N30" s="6" t="s">
        <v>158</v>
      </c>
      <c r="O30" s="6" t="s">
        <v>92</v>
      </c>
      <c r="P30" s="6" t="s">
        <v>34</v>
      </c>
    </row>
    <row r="31" customFormat="false" ht="32.8" hidden="false" customHeight="false" outlineLevel="0" collapsed="false">
      <c r="A31" s="6" t="s">
        <v>188</v>
      </c>
      <c r="B31" s="6" t="s">
        <v>189</v>
      </c>
      <c r="C31" s="6" t="s">
        <v>190</v>
      </c>
      <c r="D31" s="6" t="s">
        <v>191</v>
      </c>
      <c r="E31" s="6" t="s">
        <v>110</v>
      </c>
      <c r="F31" s="6" t="s">
        <v>39</v>
      </c>
      <c r="G31" s="6" t="s">
        <v>40</v>
      </c>
      <c r="H31" s="6" t="s">
        <v>60</v>
      </c>
      <c r="I31" s="6" t="s">
        <v>69</v>
      </c>
      <c r="J31" s="6" t="s">
        <v>192</v>
      </c>
      <c r="K31" s="7" t="s">
        <v>29</v>
      </c>
      <c r="L31" s="6" t="s">
        <v>63</v>
      </c>
      <c r="M31" s="6" t="s">
        <v>193</v>
      </c>
      <c r="N31" s="6" t="s">
        <v>32</v>
      </c>
      <c r="O31" s="6" t="s">
        <v>65</v>
      </c>
      <c r="P31" s="6" t="s">
        <v>34</v>
      </c>
    </row>
    <row r="32" customFormat="false" ht="32.8" hidden="false" customHeight="false" outlineLevel="0" collapsed="false">
      <c r="A32" s="6" t="s">
        <v>194</v>
      </c>
      <c r="B32" s="6" t="s">
        <v>189</v>
      </c>
      <c r="C32" s="6" t="s">
        <v>195</v>
      </c>
      <c r="D32" s="6" t="s">
        <v>74</v>
      </c>
      <c r="E32" s="6" t="s">
        <v>110</v>
      </c>
      <c r="F32" s="6" t="s">
        <v>39</v>
      </c>
      <c r="G32" s="6" t="s">
        <v>40</v>
      </c>
      <c r="H32" s="6" t="s">
        <v>60</v>
      </c>
      <c r="I32" s="6" t="s">
        <v>76</v>
      </c>
      <c r="J32" s="6" t="s">
        <v>196</v>
      </c>
      <c r="K32" s="7" t="s">
        <v>29</v>
      </c>
      <c r="L32" s="6" t="s">
        <v>63</v>
      </c>
      <c r="M32" s="6" t="s">
        <v>197</v>
      </c>
      <c r="N32" s="6" t="s">
        <v>32</v>
      </c>
      <c r="O32" s="6" t="s">
        <v>65</v>
      </c>
      <c r="P32" s="6" t="s">
        <v>34</v>
      </c>
    </row>
    <row r="33" customFormat="false" ht="32.8" hidden="false" customHeight="false" outlineLevel="0" collapsed="false">
      <c r="A33" s="6" t="s">
        <v>198</v>
      </c>
      <c r="B33" s="6" t="s">
        <v>189</v>
      </c>
      <c r="C33" s="6" t="s">
        <v>199</v>
      </c>
      <c r="D33" s="6" t="s">
        <v>74</v>
      </c>
      <c r="E33" s="6" t="s">
        <v>134</v>
      </c>
      <c r="F33" s="6" t="s">
        <v>39</v>
      </c>
      <c r="G33" s="6" t="s">
        <v>40</v>
      </c>
      <c r="H33" s="6" t="s">
        <v>60</v>
      </c>
      <c r="I33" s="6" t="s">
        <v>173</v>
      </c>
      <c r="J33" s="6" t="s">
        <v>200</v>
      </c>
      <c r="K33" s="7" t="s">
        <v>29</v>
      </c>
      <c r="L33" s="6" t="s">
        <v>63</v>
      </c>
      <c r="M33" s="6" t="s">
        <v>201</v>
      </c>
      <c r="N33" s="6" t="s">
        <v>32</v>
      </c>
      <c r="O33" s="6" t="s">
        <v>54</v>
      </c>
      <c r="P33" s="6" t="s">
        <v>34</v>
      </c>
    </row>
    <row r="34" customFormat="false" ht="32.8" hidden="false" customHeight="false" outlineLevel="0" collapsed="false">
      <c r="A34" s="6" t="s">
        <v>202</v>
      </c>
      <c r="B34" s="6" t="s">
        <v>189</v>
      </c>
      <c r="C34" s="6" t="s">
        <v>203</v>
      </c>
      <c r="D34" s="6" t="s">
        <v>74</v>
      </c>
      <c r="E34" s="6" t="s">
        <v>204</v>
      </c>
      <c r="F34" s="6" t="s">
        <v>205</v>
      </c>
      <c r="G34" s="6" t="s">
        <v>40</v>
      </c>
      <c r="H34" s="6" t="s">
        <v>60</v>
      </c>
      <c r="I34" s="6" t="s">
        <v>204</v>
      </c>
      <c r="J34" s="6" t="s">
        <v>206</v>
      </c>
      <c r="K34" s="7" t="s">
        <v>29</v>
      </c>
      <c r="L34" s="6" t="s">
        <v>52</v>
      </c>
      <c r="M34" s="6" t="s">
        <v>207</v>
      </c>
      <c r="N34" s="6" t="s">
        <v>32</v>
      </c>
      <c r="O34" s="6" t="s">
        <v>92</v>
      </c>
      <c r="P34" s="6" t="s">
        <v>34</v>
      </c>
    </row>
    <row r="35" customFormat="false" ht="32.8" hidden="false" customHeight="false" outlineLevel="0" collapsed="false">
      <c r="A35" s="6" t="s">
        <v>208</v>
      </c>
      <c r="B35" s="6" t="s">
        <v>189</v>
      </c>
      <c r="C35" s="6" t="s">
        <v>209</v>
      </c>
      <c r="D35" s="6" t="s">
        <v>117</v>
      </c>
      <c r="E35" s="6" t="s">
        <v>49</v>
      </c>
      <c r="F35" s="6" t="s">
        <v>24</v>
      </c>
      <c r="G35" s="6" t="s">
        <v>103</v>
      </c>
      <c r="H35" s="6" t="s">
        <v>60</v>
      </c>
      <c r="I35" s="6" t="s">
        <v>42</v>
      </c>
      <c r="J35" s="6" t="s">
        <v>210</v>
      </c>
      <c r="K35" s="7" t="s">
        <v>29</v>
      </c>
      <c r="L35" s="6" t="s">
        <v>52</v>
      </c>
      <c r="M35" s="6" t="s">
        <v>211</v>
      </c>
      <c r="N35" s="6" t="s">
        <v>158</v>
      </c>
      <c r="O35" s="6" t="s">
        <v>106</v>
      </c>
      <c r="P35" s="6" t="s">
        <v>34</v>
      </c>
    </row>
    <row r="36" customFormat="false" ht="32.8" hidden="false" customHeight="false" outlineLevel="0" collapsed="false">
      <c r="A36" s="6" t="s">
        <v>212</v>
      </c>
      <c r="B36" s="6" t="s">
        <v>189</v>
      </c>
      <c r="C36" s="6" t="s">
        <v>213</v>
      </c>
      <c r="D36" s="6" t="s">
        <v>74</v>
      </c>
      <c r="E36" s="6" t="s">
        <v>214</v>
      </c>
      <c r="F36" s="6" t="s">
        <v>215</v>
      </c>
      <c r="G36" s="6" t="s">
        <v>40</v>
      </c>
      <c r="H36" s="6" t="s">
        <v>60</v>
      </c>
      <c r="I36" s="6" t="s">
        <v>119</v>
      </c>
      <c r="J36" s="6" t="s">
        <v>216</v>
      </c>
      <c r="K36" s="7" t="s">
        <v>29</v>
      </c>
      <c r="L36" s="6" t="s">
        <v>52</v>
      </c>
      <c r="M36" s="6" t="s">
        <v>217</v>
      </c>
      <c r="N36" s="6" t="s">
        <v>32</v>
      </c>
      <c r="O36" s="6" t="s">
        <v>33</v>
      </c>
      <c r="P36" s="6" t="s">
        <v>34</v>
      </c>
    </row>
    <row r="37" customFormat="false" ht="32.8" hidden="false" customHeight="false" outlineLevel="0" collapsed="false">
      <c r="A37" s="6" t="s">
        <v>218</v>
      </c>
      <c r="B37" s="6" t="s">
        <v>219</v>
      </c>
      <c r="C37" s="6" t="s">
        <v>220</v>
      </c>
      <c r="D37" s="6" t="s">
        <v>191</v>
      </c>
      <c r="E37" s="6" t="s">
        <v>110</v>
      </c>
      <c r="F37" s="6" t="s">
        <v>39</v>
      </c>
      <c r="G37" s="6" t="s">
        <v>40</v>
      </c>
      <c r="H37" s="6" t="s">
        <v>60</v>
      </c>
      <c r="I37" s="6" t="s">
        <v>76</v>
      </c>
      <c r="J37" s="6" t="s">
        <v>221</v>
      </c>
      <c r="K37" s="7" t="s">
        <v>29</v>
      </c>
      <c r="L37" s="6" t="s">
        <v>63</v>
      </c>
      <c r="M37" s="6" t="s">
        <v>222</v>
      </c>
      <c r="N37" s="6" t="s">
        <v>32</v>
      </c>
      <c r="O37" s="6" t="s">
        <v>65</v>
      </c>
      <c r="P37" s="6" t="s">
        <v>34</v>
      </c>
    </row>
    <row r="38" customFormat="false" ht="32.8" hidden="false" customHeight="false" outlineLevel="0" collapsed="false">
      <c r="A38" s="6" t="s">
        <v>223</v>
      </c>
      <c r="B38" s="6" t="s">
        <v>224</v>
      </c>
      <c r="C38" s="6" t="s">
        <v>225</v>
      </c>
      <c r="D38" s="6" t="s">
        <v>74</v>
      </c>
      <c r="E38" s="6" t="s">
        <v>75</v>
      </c>
      <c r="F38" s="6" t="s">
        <v>39</v>
      </c>
      <c r="G38" s="6" t="s">
        <v>40</v>
      </c>
      <c r="H38" s="6" t="s">
        <v>60</v>
      </c>
      <c r="I38" s="6" t="s">
        <v>69</v>
      </c>
      <c r="J38" s="6" t="s">
        <v>226</v>
      </c>
      <c r="K38" s="7" t="s">
        <v>29</v>
      </c>
      <c r="L38" s="6" t="s">
        <v>63</v>
      </c>
      <c r="M38" s="6" t="s">
        <v>227</v>
      </c>
      <c r="N38" s="6" t="s">
        <v>32</v>
      </c>
      <c r="O38" s="6" t="s">
        <v>33</v>
      </c>
      <c r="P38" s="6" t="s">
        <v>34</v>
      </c>
    </row>
    <row r="39" customFormat="false" ht="32.8" hidden="false" customHeight="false" outlineLevel="0" collapsed="false">
      <c r="A39" s="4" t="s">
        <v>228</v>
      </c>
      <c r="B39" s="4" t="s">
        <v>229</v>
      </c>
      <c r="C39" s="4" t="s">
        <v>230</v>
      </c>
      <c r="D39" s="4" t="s">
        <v>74</v>
      </c>
      <c r="E39" s="4" t="s">
        <v>231</v>
      </c>
      <c r="F39" s="4" t="s">
        <v>39</v>
      </c>
      <c r="G39" s="4" t="s">
        <v>25</v>
      </c>
      <c r="H39" s="4" t="s">
        <v>232</v>
      </c>
      <c r="I39" s="4" t="s">
        <v>69</v>
      </c>
      <c r="J39" s="4" t="s">
        <v>233</v>
      </c>
      <c r="K39" s="5" t="s">
        <v>29</v>
      </c>
      <c r="L39" s="4" t="s">
        <v>63</v>
      </c>
      <c r="M39" s="4" t="s">
        <v>234</v>
      </c>
      <c r="N39" s="4" t="s">
        <v>32</v>
      </c>
      <c r="O39" s="4" t="s">
        <v>114</v>
      </c>
      <c r="P39" s="4" t="s">
        <v>34</v>
      </c>
    </row>
    <row r="40" customFormat="false" ht="32.8" hidden="false" customHeight="false" outlineLevel="0" collapsed="false">
      <c r="A40" s="6" t="s">
        <v>235</v>
      </c>
      <c r="B40" s="6" t="s">
        <v>229</v>
      </c>
      <c r="C40" s="6" t="s">
        <v>236</v>
      </c>
      <c r="D40" s="6" t="s">
        <v>74</v>
      </c>
      <c r="E40" s="6" t="s">
        <v>237</v>
      </c>
      <c r="F40" s="6" t="s">
        <v>39</v>
      </c>
      <c r="G40" s="6" t="s">
        <v>40</v>
      </c>
      <c r="H40" s="6" t="s">
        <v>60</v>
      </c>
      <c r="I40" s="6" t="s">
        <v>173</v>
      </c>
      <c r="J40" s="6" t="s">
        <v>238</v>
      </c>
      <c r="K40" s="7" t="s">
        <v>29</v>
      </c>
      <c r="L40" s="6" t="s">
        <v>63</v>
      </c>
      <c r="M40" s="6" t="s">
        <v>239</v>
      </c>
      <c r="N40" s="6" t="s">
        <v>32</v>
      </c>
      <c r="O40" s="6" t="s">
        <v>65</v>
      </c>
      <c r="P40" s="6" t="s">
        <v>34</v>
      </c>
    </row>
    <row r="41" customFormat="false" ht="32.8" hidden="false" customHeight="false" outlineLevel="0" collapsed="false">
      <c r="A41" s="6" t="s">
        <v>240</v>
      </c>
      <c r="B41" s="6" t="s">
        <v>241</v>
      </c>
      <c r="C41" s="6" t="s">
        <v>242</v>
      </c>
      <c r="D41" s="6" t="s">
        <v>74</v>
      </c>
      <c r="E41" s="6" t="s">
        <v>134</v>
      </c>
      <c r="F41" s="6" t="s">
        <v>39</v>
      </c>
      <c r="G41" s="6" t="s">
        <v>40</v>
      </c>
      <c r="H41" s="6" t="s">
        <v>60</v>
      </c>
      <c r="I41" s="6" t="s">
        <v>76</v>
      </c>
      <c r="J41" s="6" t="s">
        <v>243</v>
      </c>
      <c r="K41" s="7" t="s">
        <v>29</v>
      </c>
      <c r="L41" s="6" t="s">
        <v>63</v>
      </c>
      <c r="M41" s="6" t="s">
        <v>244</v>
      </c>
      <c r="N41" s="6" t="s">
        <v>32</v>
      </c>
      <c r="O41" s="6" t="s">
        <v>54</v>
      </c>
      <c r="P41" s="6" t="s">
        <v>34</v>
      </c>
    </row>
    <row r="42" customFormat="false" ht="43.25" hidden="false" customHeight="false" outlineLevel="0" collapsed="false">
      <c r="A42" s="6" t="s">
        <v>245</v>
      </c>
      <c r="B42" s="6" t="s">
        <v>241</v>
      </c>
      <c r="C42" s="6" t="s">
        <v>246</v>
      </c>
      <c r="D42" s="6" t="s">
        <v>74</v>
      </c>
      <c r="E42" s="6" t="s">
        <v>60</v>
      </c>
      <c r="F42" s="6" t="s">
        <v>247</v>
      </c>
      <c r="G42" s="6" t="s">
        <v>103</v>
      </c>
      <c r="H42" s="6" t="s">
        <v>60</v>
      </c>
      <c r="I42" s="6" t="s">
        <v>60</v>
      </c>
      <c r="J42" s="6" t="s">
        <v>248</v>
      </c>
      <c r="K42" s="6"/>
      <c r="L42" s="6" t="s">
        <v>52</v>
      </c>
      <c r="M42" s="6" t="s">
        <v>249</v>
      </c>
      <c r="N42" s="6" t="s">
        <v>32</v>
      </c>
      <c r="O42" s="6" t="s">
        <v>106</v>
      </c>
      <c r="P42" s="6" t="s">
        <v>34</v>
      </c>
    </row>
    <row r="43" customFormat="false" ht="32.8" hidden="false" customHeight="false" outlineLevel="0" collapsed="false">
      <c r="A43" s="6" t="s">
        <v>250</v>
      </c>
      <c r="B43" s="6" t="s">
        <v>251</v>
      </c>
      <c r="C43" s="6" t="s">
        <v>252</v>
      </c>
      <c r="D43" s="6" t="s">
        <v>170</v>
      </c>
      <c r="E43" s="6" t="s">
        <v>253</v>
      </c>
      <c r="F43" s="6" t="s">
        <v>39</v>
      </c>
      <c r="G43" s="6" t="s">
        <v>40</v>
      </c>
      <c r="H43" s="6" t="s">
        <v>60</v>
      </c>
      <c r="I43" s="6" t="s">
        <v>119</v>
      </c>
      <c r="J43" s="6" t="s">
        <v>254</v>
      </c>
      <c r="K43" s="7" t="s">
        <v>29</v>
      </c>
      <c r="L43" s="6" t="s">
        <v>63</v>
      </c>
      <c r="M43" s="6" t="s">
        <v>255</v>
      </c>
      <c r="N43" s="6" t="s">
        <v>32</v>
      </c>
      <c r="O43" s="6" t="s">
        <v>54</v>
      </c>
      <c r="P43" s="6" t="s">
        <v>34</v>
      </c>
    </row>
    <row r="44" customFormat="false" ht="32.8" hidden="false" customHeight="false" outlineLevel="0" collapsed="false">
      <c r="A44" s="6" t="s">
        <v>256</v>
      </c>
      <c r="B44" s="6" t="s">
        <v>251</v>
      </c>
      <c r="C44" s="6" t="s">
        <v>257</v>
      </c>
      <c r="D44" s="6" t="s">
        <v>117</v>
      </c>
      <c r="E44" s="6" t="s">
        <v>258</v>
      </c>
      <c r="F44" s="6" t="s">
        <v>39</v>
      </c>
      <c r="G44" s="6" t="s">
        <v>103</v>
      </c>
      <c r="H44" s="6" t="s">
        <v>60</v>
      </c>
      <c r="I44" s="6" t="s">
        <v>119</v>
      </c>
      <c r="J44" s="6" t="s">
        <v>259</v>
      </c>
      <c r="K44" s="7" t="s">
        <v>29</v>
      </c>
      <c r="L44" s="6" t="s">
        <v>52</v>
      </c>
      <c r="M44" s="6" t="s">
        <v>260</v>
      </c>
      <c r="N44" s="6" t="s">
        <v>32</v>
      </c>
      <c r="O44" s="6" t="s">
        <v>151</v>
      </c>
      <c r="P44" s="6" t="s">
        <v>34</v>
      </c>
    </row>
    <row r="45" customFormat="false" ht="32.8" hidden="false" customHeight="false" outlineLevel="0" collapsed="false">
      <c r="A45" s="6" t="s">
        <v>261</v>
      </c>
      <c r="B45" s="6" t="s">
        <v>262</v>
      </c>
      <c r="C45" s="6" t="s">
        <v>263</v>
      </c>
      <c r="D45" s="6" t="s">
        <v>117</v>
      </c>
      <c r="E45" s="6" t="s">
        <v>264</v>
      </c>
      <c r="F45" s="6" t="s">
        <v>265</v>
      </c>
      <c r="G45" s="6" t="s">
        <v>40</v>
      </c>
      <c r="H45" s="6" t="s">
        <v>60</v>
      </c>
      <c r="I45" s="6" t="s">
        <v>42</v>
      </c>
      <c r="J45" s="6" t="s">
        <v>266</v>
      </c>
      <c r="K45" s="7" t="s">
        <v>29</v>
      </c>
      <c r="L45" s="6" t="s">
        <v>52</v>
      </c>
      <c r="M45" s="6" t="s">
        <v>267</v>
      </c>
      <c r="N45" s="6" t="s">
        <v>32</v>
      </c>
      <c r="O45" s="6" t="s">
        <v>65</v>
      </c>
      <c r="P45" s="6" t="s">
        <v>34</v>
      </c>
    </row>
    <row r="46" customFormat="false" ht="32.8" hidden="false" customHeight="false" outlineLevel="0" collapsed="false">
      <c r="A46" s="6" t="s">
        <v>268</v>
      </c>
      <c r="B46" s="6" t="s">
        <v>108</v>
      </c>
      <c r="C46" s="6" t="s">
        <v>269</v>
      </c>
      <c r="D46" s="6" t="s">
        <v>117</v>
      </c>
      <c r="E46" s="6" t="s">
        <v>139</v>
      </c>
      <c r="F46" s="6" t="s">
        <v>39</v>
      </c>
      <c r="G46" s="6" t="s">
        <v>40</v>
      </c>
      <c r="H46" s="6" t="s">
        <v>60</v>
      </c>
      <c r="I46" s="6" t="s">
        <v>69</v>
      </c>
      <c r="J46" s="6" t="s">
        <v>270</v>
      </c>
      <c r="K46" s="7" t="s">
        <v>29</v>
      </c>
      <c r="L46" s="6" t="s">
        <v>52</v>
      </c>
      <c r="M46" s="6" t="s">
        <v>271</v>
      </c>
      <c r="N46" s="6" t="s">
        <v>32</v>
      </c>
      <c r="O46" s="6" t="s">
        <v>65</v>
      </c>
      <c r="P46" s="6" t="s">
        <v>34</v>
      </c>
    </row>
  </sheetData>
  <hyperlinks>
    <hyperlink ref="K6" r:id="rId1" display="open ↗"/>
    <hyperlink ref="K7" r:id="rId2" display="open ↗"/>
    <hyperlink ref="K8" r:id="rId3" display="open ↗"/>
    <hyperlink ref="K9" r:id="rId4" display="open ↗"/>
    <hyperlink ref="K10" r:id="rId5" display="open ↗"/>
    <hyperlink ref="K11" r:id="rId6" display="open ↗"/>
    <hyperlink ref="K12" r:id="rId7" display="open ↗"/>
    <hyperlink ref="K13" r:id="rId8" display="open ↗"/>
    <hyperlink ref="K14" r:id="rId9" display="open ↗"/>
    <hyperlink ref="K15" r:id="rId10" display="open ↗"/>
    <hyperlink ref="K16" r:id="rId11" display="open ↗"/>
    <hyperlink ref="K17" r:id="rId12" display="open ↗"/>
    <hyperlink ref="K18" r:id="rId13" display="open ↗"/>
    <hyperlink ref="K19" r:id="rId14" display="open ↗"/>
    <hyperlink ref="K20" r:id="rId15" display="open ↗"/>
    <hyperlink ref="K21" r:id="rId16" display="open ↗"/>
    <hyperlink ref="K22" r:id="rId17" display="open ↗"/>
    <hyperlink ref="K23" r:id="rId18" display="open ↗"/>
    <hyperlink ref="K24" r:id="rId19" display="open ↗"/>
    <hyperlink ref="K25" r:id="rId20" display="open ↗"/>
    <hyperlink ref="K26" r:id="rId21" display="open ↗"/>
    <hyperlink ref="K27" r:id="rId22" display="open ↗"/>
    <hyperlink ref="K28" r:id="rId23" display="open ↗"/>
    <hyperlink ref="K30" r:id="rId24" display="open ↗"/>
    <hyperlink ref="K31" r:id="rId25" display="open ↗"/>
    <hyperlink ref="K32" r:id="rId26" display="open ↗"/>
    <hyperlink ref="K33" r:id="rId27" display="open ↗"/>
    <hyperlink ref="K34" r:id="rId28" display="open ↗"/>
    <hyperlink ref="K35" r:id="rId29" display="open ↗"/>
    <hyperlink ref="K36" r:id="rId30" display="open ↗"/>
    <hyperlink ref="K37" r:id="rId31" display="open ↗"/>
    <hyperlink ref="K38" r:id="rId32" display="open ↗"/>
    <hyperlink ref="K39" r:id="rId33" display="open ↗"/>
    <hyperlink ref="K40" r:id="rId34" display="open ↗"/>
    <hyperlink ref="K41" r:id="rId35" display="open ↗"/>
    <hyperlink ref="K43" r:id="rId36" display="open ↗"/>
    <hyperlink ref="K44" r:id="rId37" display="open ↗"/>
    <hyperlink ref="K45" r:id="rId38" display="open ↗"/>
    <hyperlink ref="K46" r:id="rId39" display="open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272</v>
      </c>
    </row>
    <row r="2" customFormat="false" ht="15" hidden="false" customHeight="false" outlineLevel="0" collapsed="false">
      <c r="A2" s="2" t="s">
        <v>273</v>
      </c>
    </row>
    <row r="4" customFormat="false" ht="30" hidden="false" customHeight="true" outlineLevel="0" collapsed="false">
      <c r="A4" s="3" t="s">
        <v>3</v>
      </c>
      <c r="B4" s="3" t="s">
        <v>274</v>
      </c>
      <c r="C4" s="3" t="s">
        <v>275</v>
      </c>
      <c r="D4" s="3" t="s">
        <v>276</v>
      </c>
      <c r="E4" s="3" t="s">
        <v>277</v>
      </c>
      <c r="F4" s="3" t="s">
        <v>17</v>
      </c>
      <c r="G4" s="3" t="s">
        <v>14</v>
      </c>
      <c r="H4" s="3" t="s">
        <v>18</v>
      </c>
    </row>
    <row r="5" customFormat="false" ht="32.8" hidden="false" customHeight="false" outlineLevel="0" collapsed="false">
      <c r="A5" s="4" t="s">
        <v>107</v>
      </c>
      <c r="B5" s="4" t="s">
        <v>108</v>
      </c>
      <c r="C5" s="4" t="s">
        <v>109</v>
      </c>
      <c r="D5" s="4" t="s">
        <v>112</v>
      </c>
      <c r="E5" s="4" t="s">
        <v>39</v>
      </c>
      <c r="F5" s="4" t="s">
        <v>114</v>
      </c>
      <c r="G5" s="4" t="s">
        <v>278</v>
      </c>
      <c r="H5" s="4" t="s">
        <v>34</v>
      </c>
    </row>
    <row r="6" customFormat="false" ht="22.35" hidden="false" customHeight="false" outlineLevel="0" collapsed="false">
      <c r="A6" s="4" t="s">
        <v>115</v>
      </c>
      <c r="B6" s="4" t="s">
        <v>108</v>
      </c>
      <c r="C6" s="4" t="s">
        <v>116</v>
      </c>
      <c r="D6" s="4" t="s">
        <v>120</v>
      </c>
      <c r="E6" s="4" t="s">
        <v>39</v>
      </c>
      <c r="F6" s="4" t="s">
        <v>114</v>
      </c>
      <c r="G6" s="4" t="s">
        <v>278</v>
      </c>
      <c r="H6" s="4" t="s">
        <v>34</v>
      </c>
    </row>
    <row r="7" customFormat="false" ht="22.35" hidden="false" customHeight="false" outlineLevel="0" collapsed="false">
      <c r="A7" s="4" t="s">
        <v>228</v>
      </c>
      <c r="B7" s="4" t="s">
        <v>229</v>
      </c>
      <c r="C7" s="4" t="s">
        <v>230</v>
      </c>
      <c r="D7" s="4" t="s">
        <v>233</v>
      </c>
      <c r="E7" s="4" t="s">
        <v>39</v>
      </c>
      <c r="F7" s="4" t="s">
        <v>114</v>
      </c>
      <c r="G7" s="4" t="s">
        <v>278</v>
      </c>
      <c r="H7" s="4" t="s">
        <v>34</v>
      </c>
    </row>
    <row r="8" customFormat="false" ht="22.35" hidden="false" customHeight="false" outlineLevel="0" collapsed="false">
      <c r="A8" s="4" t="s">
        <v>19</v>
      </c>
      <c r="B8" s="4" t="s">
        <v>20</v>
      </c>
      <c r="C8" s="4" t="s">
        <v>21</v>
      </c>
      <c r="D8" s="4" t="s">
        <v>28</v>
      </c>
      <c r="E8" s="4" t="s">
        <v>24</v>
      </c>
      <c r="F8" s="4" t="s">
        <v>33</v>
      </c>
      <c r="G8" s="4" t="s">
        <v>30</v>
      </c>
      <c r="H8" s="4" t="s">
        <v>34</v>
      </c>
    </row>
    <row r="9" customFormat="false" ht="22.35" hidden="false" customHeight="false" outlineLevel="0" collapsed="false">
      <c r="A9" s="4" t="s">
        <v>66</v>
      </c>
      <c r="B9" s="4" t="s">
        <v>20</v>
      </c>
      <c r="C9" s="4" t="s">
        <v>67</v>
      </c>
      <c r="D9" s="4" t="s">
        <v>70</v>
      </c>
      <c r="E9" s="4" t="s">
        <v>24</v>
      </c>
      <c r="F9" s="4" t="s">
        <v>33</v>
      </c>
      <c r="G9" s="4" t="s">
        <v>279</v>
      </c>
      <c r="H9" s="4" t="s">
        <v>34</v>
      </c>
    </row>
    <row r="10" customFormat="false" ht="32.8" hidden="false" customHeight="false" outlineLevel="0" collapsed="false">
      <c r="A10" s="4" t="s">
        <v>79</v>
      </c>
      <c r="B10" s="4" t="s">
        <v>80</v>
      </c>
      <c r="C10" s="4" t="s">
        <v>81</v>
      </c>
      <c r="D10" s="4" t="s">
        <v>85</v>
      </c>
      <c r="E10" s="4" t="s">
        <v>83</v>
      </c>
      <c r="F10" s="4" t="s">
        <v>33</v>
      </c>
      <c r="G10" s="4" t="s">
        <v>44</v>
      </c>
      <c r="H10" s="4" t="s">
        <v>34</v>
      </c>
    </row>
    <row r="11" customFormat="false" ht="22.35" hidden="false" customHeight="false" outlineLevel="0" collapsed="false">
      <c r="A11" s="4" t="s">
        <v>47</v>
      </c>
      <c r="B11" s="4" t="s">
        <v>20</v>
      </c>
      <c r="C11" s="4" t="s">
        <v>48</v>
      </c>
      <c r="D11" s="4" t="s">
        <v>51</v>
      </c>
      <c r="E11" s="4" t="s">
        <v>24</v>
      </c>
      <c r="F11" s="4" t="s">
        <v>54</v>
      </c>
      <c r="G11" s="4" t="s">
        <v>279</v>
      </c>
      <c r="H11" s="4" t="s">
        <v>34</v>
      </c>
    </row>
    <row r="12" customFormat="false" ht="32.8" hidden="false" customHeight="false" outlineLevel="0" collapsed="false">
      <c r="A12" s="4" t="s">
        <v>167</v>
      </c>
      <c r="B12" s="4" t="s">
        <v>168</v>
      </c>
      <c r="C12" s="4" t="s">
        <v>169</v>
      </c>
      <c r="D12" s="4" t="s">
        <v>174</v>
      </c>
      <c r="E12" s="4" t="s">
        <v>171</v>
      </c>
      <c r="F12" s="4" t="s">
        <v>54</v>
      </c>
      <c r="G12" s="4" t="s">
        <v>279</v>
      </c>
      <c r="H12" s="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4"/>
    <col collapsed="false" customWidth="true" hidden="false" outlineLevel="0" max="4" min="4" style="0" width="12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280</v>
      </c>
    </row>
    <row r="2" customFormat="false" ht="15" hidden="false" customHeight="false" outlineLevel="0" collapsed="false">
      <c r="A2" s="2" t="s">
        <v>281</v>
      </c>
    </row>
    <row r="4" customFormat="false" ht="15" hidden="false" customHeight="false" outlineLevel="0" collapsed="false">
      <c r="A4" s="8" t="s">
        <v>282</v>
      </c>
      <c r="D4" s="8" t="s">
        <v>283</v>
      </c>
    </row>
    <row r="5" customFormat="false" ht="15" hidden="false" customHeight="false" outlineLevel="0" collapsed="false">
      <c r="A5" s="9" t="s">
        <v>18</v>
      </c>
      <c r="B5" s="9" t="s">
        <v>284</v>
      </c>
      <c r="D5" s="9" t="s">
        <v>9</v>
      </c>
      <c r="E5" s="9" t="s">
        <v>284</v>
      </c>
    </row>
    <row r="6" customFormat="false" ht="15" hidden="false" customHeight="false" outlineLevel="0" collapsed="false">
      <c r="A6" s="10" t="s">
        <v>34</v>
      </c>
      <c r="B6" s="10" t="n">
        <f aca="false">COUNTIF('Master Tracker'!P6:P46,A6)</f>
        <v>41</v>
      </c>
      <c r="D6" s="10" t="s">
        <v>25</v>
      </c>
      <c r="E6" s="10" t="n">
        <f aca="false">COUNTIF('Master Tracker'!G6:G46,D6)</f>
        <v>8</v>
      </c>
    </row>
    <row r="7" customFormat="false" ht="15" hidden="false" customHeight="false" outlineLevel="0" collapsed="false">
      <c r="A7" s="10" t="s">
        <v>285</v>
      </c>
      <c r="B7" s="10" t="n">
        <f aca="false">COUNTIF('Master Tracker'!P6:P46,A7)</f>
        <v>0</v>
      </c>
      <c r="D7" s="10" t="s">
        <v>40</v>
      </c>
      <c r="E7" s="10" t="n">
        <f aca="false">COUNTIF('Master Tracker'!G6:G46,D7)</f>
        <v>23</v>
      </c>
    </row>
    <row r="8" customFormat="false" ht="15" hidden="false" customHeight="false" outlineLevel="0" collapsed="false">
      <c r="A8" s="10" t="s">
        <v>286</v>
      </c>
      <c r="B8" s="10" t="n">
        <f aca="false">COUNTIF('Master Tracker'!P6:P46,A8)</f>
        <v>0</v>
      </c>
      <c r="D8" s="10" t="s">
        <v>103</v>
      </c>
      <c r="E8" s="10" t="n">
        <f aca="false">COUNTIF('Master Tracker'!G6:G46,D8)</f>
        <v>10</v>
      </c>
    </row>
    <row r="9" customFormat="false" ht="15" hidden="false" customHeight="false" outlineLevel="0" collapsed="false">
      <c r="A9" s="10" t="s">
        <v>287</v>
      </c>
      <c r="B9" s="10" t="n">
        <f aca="false">COUNTIF('Master Tracker'!P6:P46,A9)</f>
        <v>0</v>
      </c>
    </row>
    <row r="10" customFormat="false" ht="15" hidden="false" customHeight="false" outlineLevel="0" collapsed="false">
      <c r="A10" s="11" t="s">
        <v>288</v>
      </c>
      <c r="B10" s="11" t="n">
        <f aca="false">COUNTA('Master Tracker'!A6:A46)</f>
        <v>41</v>
      </c>
    </row>
    <row r="13" customFormat="false" ht="15" hidden="false" customHeight="false" outlineLevel="0" collapsed="false">
      <c r="A13" s="8" t="s">
        <v>289</v>
      </c>
    </row>
    <row r="14" customFormat="false" ht="15" hidden="false" customHeight="false" outlineLevel="0" collapsed="false">
      <c r="A14" s="10" t="s">
        <v>290</v>
      </c>
      <c r="B14" s="10" t="n">
        <f aca="false">COUNTIF('Master Tracker'!L6:L46,"Verified*")+COUNTIF('Master Tracker'!L6:L46,"Public*")</f>
        <v>23</v>
      </c>
    </row>
    <row r="15" customFormat="false" ht="15" hidden="false" customHeight="false" outlineLevel="0" collapsed="false">
      <c r="A15" s="10" t="s">
        <v>291</v>
      </c>
      <c r="B15" s="10" t="n">
        <f aca="false">COUNTIF('Master Tracker'!L6:L46,"Unverified*")</f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292</v>
      </c>
    </row>
    <row r="3" customFormat="false" ht="15" hidden="false" customHeight="false" outlineLevel="0" collapsed="false">
      <c r="A3" s="12" t="s">
        <v>293</v>
      </c>
      <c r="B3" s="12" t="s">
        <v>294</v>
      </c>
      <c r="C3" s="12" t="s">
        <v>295</v>
      </c>
    </row>
    <row r="4" customFormat="false" ht="22.35" hidden="false" customHeight="false" outlineLevel="0" collapsed="false">
      <c r="A4" s="13" t="s">
        <v>296</v>
      </c>
      <c r="B4" s="13" t="s">
        <v>297</v>
      </c>
      <c r="C4" s="13" t="s">
        <v>298</v>
      </c>
    </row>
    <row r="5" customFormat="false" ht="22.35" hidden="false" customHeight="false" outlineLevel="0" collapsed="false">
      <c r="A5" s="13" t="s">
        <v>296</v>
      </c>
      <c r="B5" s="13" t="s">
        <v>299</v>
      </c>
      <c r="C5" s="13" t="s">
        <v>300</v>
      </c>
    </row>
    <row r="6" customFormat="false" ht="22.35" hidden="false" customHeight="false" outlineLevel="0" collapsed="false">
      <c r="A6" s="13" t="s">
        <v>296</v>
      </c>
      <c r="B6" s="13" t="s">
        <v>301</v>
      </c>
      <c r="C6" s="13" t="s">
        <v>302</v>
      </c>
    </row>
    <row r="7" customFormat="false" ht="22.35" hidden="false" customHeight="false" outlineLevel="0" collapsed="false">
      <c r="A7" s="13" t="s">
        <v>296</v>
      </c>
      <c r="B7" s="13" t="s">
        <v>303</v>
      </c>
      <c r="C7" s="13" t="s">
        <v>304</v>
      </c>
    </row>
    <row r="8" customFormat="false" ht="22.35" hidden="false" customHeight="false" outlineLevel="0" collapsed="false">
      <c r="A8" s="13" t="s">
        <v>296</v>
      </c>
      <c r="B8" s="13" t="s">
        <v>305</v>
      </c>
      <c r="C8" s="13" t="s">
        <v>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2026-06-03T20:17:06Z</dcterms:created>
  <dc:creator>openpyxl</dc:creator>
  <dc:description/>
  <dc:language>en-US</dc:language>
  <cp:lastModifiedBy/>
  <dcterms:modified xsi:type="dcterms:W3CDTF">2026-06-03T20:17:07Z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